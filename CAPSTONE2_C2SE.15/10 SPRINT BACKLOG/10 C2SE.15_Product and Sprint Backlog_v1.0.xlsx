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xl/drawings/drawing8.xml" ContentType="application/vnd.openxmlformats-officedocument.drawing+xml"/>
  <Override PartName="/xl/comments4.xml" ContentType="application/vnd.openxmlformats-officedocument.spreadsheetml.comments+xml"/>
  <Override PartName="/xl/charts/chart6.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File Các Môn Học\C2SE.15 - CAPSTONE2\CAPSTONE2_C2SE.15\10 SPRINT BACKLOG\"/>
    </mc:Choice>
  </mc:AlternateContent>
  <xr:revisionPtr revIDLastSave="0" documentId="13_ncr:1_{11403964-6A69-4454-B821-A2CAA8649DF6}" xr6:coauthVersionLast="47" xr6:coauthVersionMax="47" xr10:uidLastSave="{00000000-0000-0000-0000-000000000000}"/>
  <bookViews>
    <workbookView xWindow="-108" yWindow="-108" windowWidth="23256" windowHeight="12456" activeTab="1" xr2:uid="{00000000-000D-0000-FFFF-FFFF00000000}"/>
  </bookViews>
  <sheets>
    <sheet name="Main" sheetId="1" r:id="rId1"/>
    <sheet name="Product Backlog" sheetId="2" r:id="rId2"/>
    <sheet name="Sprint 1 Backlog" sheetId="3" r:id="rId3"/>
    <sheet name="Sprint 1 Reports" sheetId="4" r:id="rId4"/>
    <sheet name="Sprint 2 Backlog" sheetId="5" r:id="rId5"/>
    <sheet name="Sprint 2 Reports" sheetId="6" r:id="rId6"/>
    <sheet name="Sprint 3 Reports" sheetId="8" r:id="rId7"/>
    <sheet name="Sprint 3 Backlog" sheetId="7" r:id="rId8"/>
    <sheet name="Impediment" sheetId="9" r:id="rId9"/>
    <sheet name="Retrospective" sheetId="10" r:id="rId10"/>
    <sheet name="Referenc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HeRsDFxdQ5pxIV5hHf+QYUCXoHZoTguBtsLj4wzl8Rs="/>
    </ext>
  </extLst>
</workbook>
</file>

<file path=xl/calcChain.xml><?xml version="1.0" encoding="utf-8"?>
<calcChain xmlns="http://schemas.openxmlformats.org/spreadsheetml/2006/main">
  <c r="AG119" i="5" l="1"/>
  <c r="I84" i="3"/>
  <c r="K84" i="3"/>
  <c r="I43" i="3"/>
  <c r="K43" i="3"/>
  <c r="AE98" i="7"/>
  <c r="AD98" i="7"/>
  <c r="AC98" i="7"/>
  <c r="AB98" i="7"/>
  <c r="AA98" i="7"/>
  <c r="Z98" i="7"/>
  <c r="Y98" i="7"/>
  <c r="X98" i="7"/>
  <c r="W98" i="7"/>
  <c r="V98" i="7"/>
  <c r="U98" i="7"/>
  <c r="T98" i="7"/>
  <c r="S98" i="7"/>
  <c r="R98" i="7"/>
  <c r="Q98" i="7"/>
  <c r="P98" i="7"/>
  <c r="O98" i="7"/>
  <c r="N98" i="7"/>
  <c r="M98" i="7"/>
  <c r="L98" i="7"/>
  <c r="AF97" i="7"/>
  <c r="AE97" i="7"/>
  <c r="AD97" i="7"/>
  <c r="AC97" i="7"/>
  <c r="AB97" i="7"/>
  <c r="AA97" i="7"/>
  <c r="Z97" i="7"/>
  <c r="Y97" i="7"/>
  <c r="X97" i="7"/>
  <c r="W97" i="7"/>
  <c r="V97" i="7"/>
  <c r="U97" i="7"/>
  <c r="T97" i="7"/>
  <c r="S97" i="7"/>
  <c r="R97" i="7"/>
  <c r="Q97" i="7"/>
  <c r="P97" i="7"/>
  <c r="O97" i="7"/>
  <c r="N97" i="7"/>
  <c r="M97" i="7"/>
  <c r="L97" i="7"/>
  <c r="AF96" i="7"/>
  <c r="AE96" i="7"/>
  <c r="AD96" i="7"/>
  <c r="AC96" i="7"/>
  <c r="AB96" i="7"/>
  <c r="AA96" i="7"/>
  <c r="Z96" i="7"/>
  <c r="Y96" i="7"/>
  <c r="X96" i="7"/>
  <c r="W96" i="7"/>
  <c r="V96" i="7"/>
  <c r="U96" i="7"/>
  <c r="T96" i="7"/>
  <c r="S96" i="7"/>
  <c r="R96" i="7"/>
  <c r="Q96" i="7"/>
  <c r="P96" i="7"/>
  <c r="O96" i="7"/>
  <c r="N96" i="7"/>
  <c r="M96" i="7"/>
  <c r="L96" i="7"/>
  <c r="AF95" i="7"/>
  <c r="AE95" i="7"/>
  <c r="AD95" i="7"/>
  <c r="AC95" i="7"/>
  <c r="AB95" i="7"/>
  <c r="AA95" i="7"/>
  <c r="Z95" i="7"/>
  <c r="Y95" i="7"/>
  <c r="X95" i="7"/>
  <c r="W95" i="7"/>
  <c r="V95" i="7"/>
  <c r="U95" i="7"/>
  <c r="T95" i="7"/>
  <c r="S95" i="7"/>
  <c r="R95" i="7"/>
  <c r="Q95" i="7"/>
  <c r="P95" i="7"/>
  <c r="O95" i="7"/>
  <c r="N95" i="7"/>
  <c r="M95" i="7"/>
  <c r="L95" i="7"/>
  <c r="AE94" i="7"/>
  <c r="AD94" i="7"/>
  <c r="AC94" i="7"/>
  <c r="AB94" i="7"/>
  <c r="AA94" i="7"/>
  <c r="Z94" i="7"/>
  <c r="Y94" i="7"/>
  <c r="X94" i="7"/>
  <c r="W94" i="7"/>
  <c r="V94" i="7"/>
  <c r="U94" i="7"/>
  <c r="T94" i="7"/>
  <c r="S94" i="7"/>
  <c r="R94" i="7"/>
  <c r="Q94" i="7"/>
  <c r="P94" i="7"/>
  <c r="O94" i="7"/>
  <c r="N94" i="7"/>
  <c r="M94" i="7"/>
  <c r="L94" i="7"/>
  <c r="AF87" i="7"/>
  <c r="AE87" i="7"/>
  <c r="AD87" i="7"/>
  <c r="AC87" i="7"/>
  <c r="AB87" i="7"/>
  <c r="AA87" i="7"/>
  <c r="Z87" i="7"/>
  <c r="Y87" i="7"/>
  <c r="X87" i="7"/>
  <c r="W87" i="7"/>
  <c r="V87" i="7"/>
  <c r="U87" i="7"/>
  <c r="T87" i="7"/>
  <c r="S87" i="7"/>
  <c r="R87" i="7"/>
  <c r="Q87" i="7"/>
  <c r="P87" i="7"/>
  <c r="O87" i="7"/>
  <c r="N87" i="7"/>
  <c r="M87" i="7"/>
  <c r="L87" i="7"/>
  <c r="L89" i="7" s="1"/>
  <c r="J87" i="7"/>
  <c r="G87" i="7"/>
  <c r="G90" i="7" s="1"/>
  <c r="L91" i="7" s="1"/>
  <c r="M91" i="7" s="1"/>
  <c r="N91" i="7" s="1"/>
  <c r="O91" i="7" s="1"/>
  <c r="P91" i="7" s="1"/>
  <c r="Q91" i="7" s="1"/>
  <c r="R91" i="7" s="1"/>
  <c r="S91" i="7" s="1"/>
  <c r="T91" i="7" s="1"/>
  <c r="U91" i="7" s="1"/>
  <c r="V91" i="7" s="1"/>
  <c r="W91" i="7" s="1"/>
  <c r="X91" i="7" s="1"/>
  <c r="Y91" i="7" s="1"/>
  <c r="Z91" i="7" s="1"/>
  <c r="AA91" i="7" s="1"/>
  <c r="AB91" i="7" s="1"/>
  <c r="AC91" i="7" s="1"/>
  <c r="AD91" i="7" s="1"/>
  <c r="AE91" i="7" s="1"/>
  <c r="AF91" i="7" s="1"/>
  <c r="K84" i="7"/>
  <c r="I84" i="7"/>
  <c r="K83" i="7"/>
  <c r="I83" i="7"/>
  <c r="K81" i="7"/>
  <c r="I81" i="7"/>
  <c r="K79" i="7"/>
  <c r="I79" i="7"/>
  <c r="K75" i="7"/>
  <c r="I75" i="7"/>
  <c r="K74" i="7"/>
  <c r="I74" i="7"/>
  <c r="K73" i="7"/>
  <c r="I73" i="7"/>
  <c r="K71" i="7"/>
  <c r="I71" i="7"/>
  <c r="K70" i="7"/>
  <c r="I70" i="7"/>
  <c r="K69" i="7"/>
  <c r="I69" i="7"/>
  <c r="K68" i="7"/>
  <c r="I68" i="7"/>
  <c r="K67" i="7"/>
  <c r="I67" i="7"/>
  <c r="K66" i="7"/>
  <c r="I66" i="7"/>
  <c r="K65" i="7"/>
  <c r="I65" i="7"/>
  <c r="K63" i="7"/>
  <c r="I63" i="7"/>
  <c r="K62" i="7"/>
  <c r="I62" i="7"/>
  <c r="K60" i="7"/>
  <c r="I60" i="7"/>
  <c r="K59" i="7"/>
  <c r="I59" i="7"/>
  <c r="K58" i="7"/>
  <c r="I58" i="7"/>
  <c r="K57" i="7"/>
  <c r="I57" i="7"/>
  <c r="K55" i="7"/>
  <c r="I55" i="7"/>
  <c r="K52" i="7"/>
  <c r="I52" i="7"/>
  <c r="K50" i="7"/>
  <c r="I50" i="7"/>
  <c r="K49" i="7"/>
  <c r="I49" i="7"/>
  <c r="K48" i="7"/>
  <c r="I48" i="7"/>
  <c r="K45" i="7"/>
  <c r="I45" i="7"/>
  <c r="K44" i="7"/>
  <c r="I44" i="7"/>
  <c r="K43" i="7"/>
  <c r="I43" i="7"/>
  <c r="K42" i="7"/>
  <c r="I42" i="7"/>
  <c r="K41" i="7"/>
  <c r="I41" i="7"/>
  <c r="K39" i="7"/>
  <c r="I39" i="7"/>
  <c r="K38" i="7"/>
  <c r="I38" i="7"/>
  <c r="K37" i="7"/>
  <c r="I37" i="7"/>
  <c r="K36" i="7"/>
  <c r="I36" i="7"/>
  <c r="K35" i="7"/>
  <c r="I35" i="7"/>
  <c r="K34" i="7"/>
  <c r="I34" i="7"/>
  <c r="K33" i="7"/>
  <c r="I33" i="7"/>
  <c r="K32" i="7"/>
  <c r="I32" i="7"/>
  <c r="K30" i="7"/>
  <c r="I30" i="7"/>
  <c r="K26" i="7"/>
  <c r="I26" i="7"/>
  <c r="K25" i="7"/>
  <c r="I25" i="7"/>
  <c r="K24" i="7"/>
  <c r="I24" i="7"/>
  <c r="K23" i="7"/>
  <c r="I23" i="7"/>
  <c r="K22" i="7"/>
  <c r="I22" i="7"/>
  <c r="K21" i="7"/>
  <c r="I21" i="7"/>
  <c r="K20" i="7"/>
  <c r="I20" i="7"/>
  <c r="K19" i="7"/>
  <c r="I19" i="7"/>
  <c r="K18" i="7"/>
  <c r="I18" i="7"/>
  <c r="K17" i="7"/>
  <c r="I17" i="7"/>
  <c r="K16" i="7"/>
  <c r="I16" i="7"/>
  <c r="K14" i="7"/>
  <c r="I14" i="7"/>
  <c r="K13" i="7"/>
  <c r="I13" i="7"/>
  <c r="K12" i="7"/>
  <c r="I12" i="7"/>
  <c r="K11" i="7"/>
  <c r="I11" i="7"/>
  <c r="K10" i="7"/>
  <c r="I10" i="7"/>
  <c r="K9" i="7"/>
  <c r="I9" i="7"/>
  <c r="K8" i="7"/>
  <c r="I8" i="7"/>
  <c r="AE123" i="5"/>
  <c r="AD123" i="5"/>
  <c r="AC123" i="5"/>
  <c r="AB123" i="5"/>
  <c r="AA123" i="5"/>
  <c r="Z123" i="5"/>
  <c r="Y123" i="5"/>
  <c r="X123" i="5"/>
  <c r="W123" i="5"/>
  <c r="V123" i="5"/>
  <c r="U123" i="5"/>
  <c r="T123" i="5"/>
  <c r="S123" i="5"/>
  <c r="R123" i="5"/>
  <c r="Q123" i="5"/>
  <c r="P123" i="5"/>
  <c r="O123" i="5"/>
  <c r="N123" i="5"/>
  <c r="M123" i="5"/>
  <c r="L123" i="5"/>
  <c r="AE122" i="5"/>
  <c r="AD122" i="5"/>
  <c r="AC122" i="5"/>
  <c r="AB122" i="5"/>
  <c r="AA122" i="5"/>
  <c r="Z122" i="5"/>
  <c r="Y122" i="5"/>
  <c r="X122" i="5"/>
  <c r="W122" i="5"/>
  <c r="V122" i="5"/>
  <c r="U122" i="5"/>
  <c r="T122" i="5"/>
  <c r="S122" i="5"/>
  <c r="R122" i="5"/>
  <c r="Q122" i="5"/>
  <c r="P122" i="5"/>
  <c r="O122" i="5"/>
  <c r="N122" i="5"/>
  <c r="M122" i="5"/>
  <c r="L122" i="5"/>
  <c r="AE121" i="5"/>
  <c r="AD121" i="5"/>
  <c r="AC121" i="5"/>
  <c r="AB121" i="5"/>
  <c r="AA121" i="5"/>
  <c r="Z121" i="5"/>
  <c r="Y121" i="5"/>
  <c r="X121" i="5"/>
  <c r="W121" i="5"/>
  <c r="V121" i="5"/>
  <c r="U121" i="5"/>
  <c r="T121" i="5"/>
  <c r="S121" i="5"/>
  <c r="R121" i="5"/>
  <c r="Q121" i="5"/>
  <c r="P121" i="5"/>
  <c r="O121" i="5"/>
  <c r="N121" i="5"/>
  <c r="M121" i="5"/>
  <c r="L121" i="5"/>
  <c r="AE120" i="5"/>
  <c r="AD120" i="5"/>
  <c r="AC120" i="5"/>
  <c r="AB120" i="5"/>
  <c r="AA120" i="5"/>
  <c r="Z120" i="5"/>
  <c r="Y120" i="5"/>
  <c r="X120" i="5"/>
  <c r="W120" i="5"/>
  <c r="V120" i="5"/>
  <c r="U120" i="5"/>
  <c r="T120" i="5"/>
  <c r="S120" i="5"/>
  <c r="R120" i="5"/>
  <c r="Q120" i="5"/>
  <c r="P120" i="5"/>
  <c r="O120" i="5"/>
  <c r="N120" i="5"/>
  <c r="M120" i="5"/>
  <c r="L120" i="5"/>
  <c r="AE119" i="5"/>
  <c r="AD119" i="5"/>
  <c r="AC119" i="5"/>
  <c r="AB119" i="5"/>
  <c r="AA119" i="5"/>
  <c r="Z119" i="5"/>
  <c r="Y119" i="5"/>
  <c r="X119" i="5"/>
  <c r="W119" i="5"/>
  <c r="V119" i="5"/>
  <c r="U119" i="5"/>
  <c r="T119" i="5"/>
  <c r="S119" i="5"/>
  <c r="R119" i="5"/>
  <c r="Q119" i="5"/>
  <c r="P119" i="5"/>
  <c r="O119" i="5"/>
  <c r="N119" i="5"/>
  <c r="M119" i="5"/>
  <c r="L119" i="5"/>
  <c r="AF112" i="5"/>
  <c r="AE112" i="5"/>
  <c r="AD112" i="5"/>
  <c r="AC112" i="5"/>
  <c r="AB112" i="5"/>
  <c r="AA112" i="5"/>
  <c r="Z112" i="5"/>
  <c r="Y112" i="5"/>
  <c r="X112" i="5"/>
  <c r="W112" i="5"/>
  <c r="V112" i="5"/>
  <c r="U112" i="5"/>
  <c r="T112" i="5"/>
  <c r="S112" i="5"/>
  <c r="R112" i="5"/>
  <c r="Q112" i="5"/>
  <c r="P112" i="5"/>
  <c r="O112" i="5"/>
  <c r="N112" i="5"/>
  <c r="M112" i="5"/>
  <c r="L112" i="5"/>
  <c r="L114" i="5" s="1"/>
  <c r="J112" i="5"/>
  <c r="K117" i="5" s="1"/>
  <c r="H112" i="5"/>
  <c r="G115" i="5" s="1"/>
  <c r="L116" i="5" s="1"/>
  <c r="M116" i="5" s="1"/>
  <c r="N116" i="5" s="1"/>
  <c r="O116" i="5" s="1"/>
  <c r="P116" i="5" s="1"/>
  <c r="Q116" i="5" s="1"/>
  <c r="R116" i="5" s="1"/>
  <c r="S116" i="5" s="1"/>
  <c r="T116" i="5" s="1"/>
  <c r="U116" i="5" s="1"/>
  <c r="V116" i="5" s="1"/>
  <c r="W116" i="5" s="1"/>
  <c r="X116" i="5" s="1"/>
  <c r="Y116" i="5" s="1"/>
  <c r="Z116" i="5" s="1"/>
  <c r="AA116" i="5" s="1"/>
  <c r="AB116" i="5" s="1"/>
  <c r="AC116" i="5" s="1"/>
  <c r="AD116" i="5" s="1"/>
  <c r="AE116" i="5" s="1"/>
  <c r="AF116" i="5" s="1"/>
  <c r="G112" i="5"/>
  <c r="K109" i="5"/>
  <c r="I109" i="5"/>
  <c r="K108" i="5"/>
  <c r="I108" i="5"/>
  <c r="K106" i="5"/>
  <c r="I106" i="5"/>
  <c r="K98" i="5"/>
  <c r="I98" i="5"/>
  <c r="K97" i="5"/>
  <c r="I97" i="5"/>
  <c r="K96" i="5"/>
  <c r="I96" i="5"/>
  <c r="K95" i="5"/>
  <c r="I95" i="5"/>
  <c r="K94" i="5"/>
  <c r="I94" i="5"/>
  <c r="K93" i="5"/>
  <c r="I93" i="5"/>
  <c r="K92" i="5"/>
  <c r="I92" i="5"/>
  <c r="K91" i="5"/>
  <c r="I91" i="5"/>
  <c r="K90" i="5"/>
  <c r="I90" i="5"/>
  <c r="K89" i="5"/>
  <c r="I89" i="5"/>
  <c r="K88" i="5"/>
  <c r="I88" i="5"/>
  <c r="K87" i="5"/>
  <c r="I87" i="5"/>
  <c r="K86" i="5"/>
  <c r="I86" i="5"/>
  <c r="K85" i="5"/>
  <c r="I85" i="5"/>
  <c r="K83" i="5"/>
  <c r="I83" i="5"/>
  <c r="K69" i="5"/>
  <c r="I69" i="5"/>
  <c r="K68" i="5"/>
  <c r="I68" i="5"/>
  <c r="K67" i="5"/>
  <c r="I67" i="5"/>
  <c r="K66" i="5"/>
  <c r="I66" i="5"/>
  <c r="K65" i="5"/>
  <c r="I65" i="5"/>
  <c r="K64" i="5"/>
  <c r="I64" i="5"/>
  <c r="K63" i="5"/>
  <c r="I63" i="5"/>
  <c r="K62" i="5"/>
  <c r="I62" i="5"/>
  <c r="K61" i="5"/>
  <c r="I61" i="5"/>
  <c r="K60" i="5"/>
  <c r="I60" i="5"/>
  <c r="K59" i="5"/>
  <c r="I59" i="5"/>
  <c r="K58" i="5"/>
  <c r="I58" i="5"/>
  <c r="K57" i="5"/>
  <c r="I57" i="5"/>
  <c r="K56" i="5"/>
  <c r="I56" i="5"/>
  <c r="K55" i="5"/>
  <c r="I55" i="5"/>
  <c r="K54" i="5"/>
  <c r="I54" i="5"/>
  <c r="K53" i="5"/>
  <c r="I53" i="5"/>
  <c r="K52" i="5"/>
  <c r="I52" i="5"/>
  <c r="K49" i="5"/>
  <c r="I49" i="5"/>
  <c r="K48" i="5"/>
  <c r="I48" i="5"/>
  <c r="K47" i="5"/>
  <c r="I47" i="5"/>
  <c r="K46" i="5"/>
  <c r="I46" i="5"/>
  <c r="K43" i="5"/>
  <c r="I43" i="5"/>
  <c r="K42" i="5"/>
  <c r="I42" i="5"/>
  <c r="K41" i="5"/>
  <c r="I41" i="5"/>
  <c r="K40" i="5"/>
  <c r="I40" i="5"/>
  <c r="K38" i="5"/>
  <c r="I38" i="5"/>
  <c r="K30" i="5"/>
  <c r="I30" i="5"/>
  <c r="K27" i="5"/>
  <c r="I27" i="5"/>
  <c r="K26" i="5"/>
  <c r="I26" i="5"/>
  <c r="K25" i="5"/>
  <c r="I25" i="5"/>
  <c r="K24" i="5"/>
  <c r="I24" i="5"/>
  <c r="K23" i="5"/>
  <c r="I23" i="5"/>
  <c r="K21" i="5"/>
  <c r="I21" i="5"/>
  <c r="K20" i="5"/>
  <c r="I20" i="5"/>
  <c r="K19" i="5"/>
  <c r="I19" i="5"/>
  <c r="K18" i="5"/>
  <c r="I18" i="5"/>
  <c r="K17" i="5"/>
  <c r="I17" i="5"/>
  <c r="K15" i="5"/>
  <c r="I15" i="5"/>
  <c r="K14" i="5"/>
  <c r="I14" i="5"/>
  <c r="K13" i="5"/>
  <c r="I13" i="5"/>
  <c r="K12" i="5"/>
  <c r="I12" i="5"/>
  <c r="K11" i="5"/>
  <c r="I11" i="5"/>
  <c r="K10" i="5"/>
  <c r="I10" i="5"/>
  <c r="K9" i="5"/>
  <c r="I9" i="5"/>
  <c r="K8" i="5"/>
  <c r="I8" i="5"/>
  <c r="AE126" i="3"/>
  <c r="AD126" i="3"/>
  <c r="AC126" i="3"/>
  <c r="AB126" i="3"/>
  <c r="AA126" i="3"/>
  <c r="Z126" i="3"/>
  <c r="Y126" i="3"/>
  <c r="X126" i="3"/>
  <c r="W126" i="3"/>
  <c r="V126" i="3"/>
  <c r="U126" i="3"/>
  <c r="T126" i="3"/>
  <c r="S126" i="3"/>
  <c r="R126" i="3"/>
  <c r="Q126" i="3"/>
  <c r="P126" i="3"/>
  <c r="O126" i="3"/>
  <c r="N126" i="3"/>
  <c r="M126" i="3"/>
  <c r="L126" i="3"/>
  <c r="AE125" i="3"/>
  <c r="AD125" i="3"/>
  <c r="AC125" i="3"/>
  <c r="AB125" i="3"/>
  <c r="AA125" i="3"/>
  <c r="Z125" i="3"/>
  <c r="Y125" i="3"/>
  <c r="X125" i="3"/>
  <c r="W125" i="3"/>
  <c r="V125" i="3"/>
  <c r="U125" i="3"/>
  <c r="T125" i="3"/>
  <c r="S125" i="3"/>
  <c r="R125" i="3"/>
  <c r="Q125" i="3"/>
  <c r="P125" i="3"/>
  <c r="O125" i="3"/>
  <c r="N125" i="3"/>
  <c r="M125" i="3"/>
  <c r="L125" i="3"/>
  <c r="AE124" i="3"/>
  <c r="AD124" i="3"/>
  <c r="AC124" i="3"/>
  <c r="AB124" i="3"/>
  <c r="AA124" i="3"/>
  <c r="Z124" i="3"/>
  <c r="Y124" i="3"/>
  <c r="X124" i="3"/>
  <c r="W124" i="3"/>
  <c r="V124" i="3"/>
  <c r="U124" i="3"/>
  <c r="T124" i="3"/>
  <c r="S124" i="3"/>
  <c r="R124" i="3"/>
  <c r="Q124" i="3"/>
  <c r="P124" i="3"/>
  <c r="O124" i="3"/>
  <c r="N124" i="3"/>
  <c r="M124" i="3"/>
  <c r="L124" i="3"/>
  <c r="AE123" i="3"/>
  <c r="AD123" i="3"/>
  <c r="AC123" i="3"/>
  <c r="AB123" i="3"/>
  <c r="AA123" i="3"/>
  <c r="Z123" i="3"/>
  <c r="Y123" i="3"/>
  <c r="X123" i="3"/>
  <c r="W123" i="3"/>
  <c r="V123" i="3"/>
  <c r="U123" i="3"/>
  <c r="T123" i="3"/>
  <c r="S123" i="3"/>
  <c r="R123" i="3"/>
  <c r="Q123" i="3"/>
  <c r="P123" i="3"/>
  <c r="O123" i="3"/>
  <c r="N123" i="3"/>
  <c r="M123" i="3"/>
  <c r="L123" i="3"/>
  <c r="AE122" i="3"/>
  <c r="AD122" i="3"/>
  <c r="AC122" i="3"/>
  <c r="AB122" i="3"/>
  <c r="AA122" i="3"/>
  <c r="Z122" i="3"/>
  <c r="Y122" i="3"/>
  <c r="X122" i="3"/>
  <c r="W122" i="3"/>
  <c r="V122" i="3"/>
  <c r="U122" i="3"/>
  <c r="T122" i="3"/>
  <c r="S122" i="3"/>
  <c r="R122" i="3"/>
  <c r="Q122" i="3"/>
  <c r="P122" i="3"/>
  <c r="O122" i="3"/>
  <c r="N122" i="3"/>
  <c r="M122" i="3"/>
  <c r="L122" i="3"/>
  <c r="AF114" i="3"/>
  <c r="AE114" i="3"/>
  <c r="AD114" i="3"/>
  <c r="AC114" i="3"/>
  <c r="AB114" i="3"/>
  <c r="AA114" i="3"/>
  <c r="Z114" i="3"/>
  <c r="Y114" i="3"/>
  <c r="X114" i="3"/>
  <c r="W114" i="3"/>
  <c r="V114" i="3"/>
  <c r="U114" i="3"/>
  <c r="T114" i="3"/>
  <c r="S114" i="3"/>
  <c r="R114" i="3"/>
  <c r="Q114" i="3"/>
  <c r="P114" i="3"/>
  <c r="O114" i="3"/>
  <c r="N114" i="3"/>
  <c r="M114" i="3"/>
  <c r="L114" i="3"/>
  <c r="L116" i="3" s="1"/>
  <c r="J114" i="3"/>
  <c r="K119" i="3" s="1"/>
  <c r="G114" i="3"/>
  <c r="K111" i="3"/>
  <c r="I111" i="3"/>
  <c r="K110" i="3"/>
  <c r="I110" i="3"/>
  <c r="K108" i="3"/>
  <c r="I108" i="3"/>
  <c r="K96" i="3"/>
  <c r="I96" i="3"/>
  <c r="K91" i="3"/>
  <c r="I91" i="3"/>
  <c r="K89" i="3"/>
  <c r="I89" i="3"/>
  <c r="K88" i="3"/>
  <c r="I88" i="3"/>
  <c r="K87" i="3"/>
  <c r="I87" i="3"/>
  <c r="K86" i="3"/>
  <c r="I86" i="3"/>
  <c r="K67" i="3"/>
  <c r="I67" i="3"/>
  <c r="K66" i="3"/>
  <c r="I66" i="3"/>
  <c r="K65" i="3"/>
  <c r="I65" i="3"/>
  <c r="K64" i="3"/>
  <c r="I64" i="3"/>
  <c r="K63" i="3"/>
  <c r="I63" i="3"/>
  <c r="K62" i="3"/>
  <c r="I62" i="3"/>
  <c r="K61" i="3"/>
  <c r="I61" i="3"/>
  <c r="K52" i="3"/>
  <c r="I52" i="3"/>
  <c r="K51" i="3"/>
  <c r="I51" i="3"/>
  <c r="K50" i="3"/>
  <c r="I50" i="3"/>
  <c r="K49" i="3"/>
  <c r="I49" i="3"/>
  <c r="K48" i="3"/>
  <c r="I48" i="3"/>
  <c r="K47" i="3"/>
  <c r="I47" i="3"/>
  <c r="K46" i="3"/>
  <c r="I46" i="3"/>
  <c r="K45" i="3"/>
  <c r="I45" i="3"/>
  <c r="H114" i="3"/>
  <c r="G117" i="3" s="1"/>
  <c r="L118" i="3" s="1"/>
  <c r="M118" i="3" s="1"/>
  <c r="N118" i="3" s="1"/>
  <c r="O118" i="3" s="1"/>
  <c r="P118" i="3" s="1"/>
  <c r="Q118" i="3" s="1"/>
  <c r="R118" i="3" s="1"/>
  <c r="S118" i="3" s="1"/>
  <c r="T118" i="3" s="1"/>
  <c r="U118" i="3" s="1"/>
  <c r="V118" i="3" s="1"/>
  <c r="W118" i="3" s="1"/>
  <c r="X118" i="3" s="1"/>
  <c r="Y118" i="3" s="1"/>
  <c r="Z118" i="3" s="1"/>
  <c r="AA118" i="3" s="1"/>
  <c r="AB118" i="3" s="1"/>
  <c r="AC118" i="3" s="1"/>
  <c r="AD118" i="3" s="1"/>
  <c r="AE118" i="3" s="1"/>
  <c r="AF118" i="3" s="1"/>
  <c r="K35" i="3"/>
  <c r="I35" i="3"/>
  <c r="K31" i="3"/>
  <c r="I31" i="3"/>
  <c r="K30" i="3"/>
  <c r="I30" i="3"/>
  <c r="K25" i="3"/>
  <c r="I25" i="3"/>
  <c r="K24" i="3"/>
  <c r="I24" i="3"/>
  <c r="K23" i="3"/>
  <c r="I23" i="3"/>
  <c r="K22" i="3"/>
  <c r="I22" i="3"/>
  <c r="K20" i="3"/>
  <c r="I20" i="3"/>
  <c r="K19" i="3"/>
  <c r="I19" i="3"/>
  <c r="K18" i="3"/>
  <c r="I18" i="3"/>
  <c r="K17" i="3"/>
  <c r="I17" i="3"/>
  <c r="K16" i="3"/>
  <c r="I16" i="3"/>
  <c r="K15" i="3"/>
  <c r="I15" i="3"/>
  <c r="K14" i="3"/>
  <c r="I14" i="3"/>
  <c r="K13" i="3"/>
  <c r="I13" i="3"/>
  <c r="K12" i="3"/>
  <c r="I12" i="3"/>
  <c r="K11" i="3"/>
  <c r="I11" i="3"/>
  <c r="K10" i="3"/>
  <c r="I10" i="3"/>
  <c r="K9" i="3"/>
  <c r="I9" i="3"/>
  <c r="K8" i="3"/>
  <c r="I8" i="3"/>
  <c r="H87" i="7" l="1"/>
  <c r="L88" i="7"/>
  <c r="M88" i="7" s="1"/>
  <c r="N88" i="7" s="1"/>
  <c r="O88" i="7" s="1"/>
  <c r="P88" i="7" s="1"/>
  <c r="Q88" i="7" s="1"/>
  <c r="R88" i="7" s="1"/>
  <c r="S88" i="7" s="1"/>
  <c r="T88" i="7" s="1"/>
  <c r="U88" i="7" s="1"/>
  <c r="V88" i="7" s="1"/>
  <c r="W88" i="7" s="1"/>
  <c r="X88" i="7" s="1"/>
  <c r="Y88" i="7" s="1"/>
  <c r="Z88" i="7" s="1"/>
  <c r="AA88" i="7" s="1"/>
  <c r="AB88" i="7" s="1"/>
  <c r="AC88" i="7" s="1"/>
  <c r="AD88" i="7" s="1"/>
  <c r="AE88" i="7" s="1"/>
  <c r="AF88" i="7" s="1"/>
  <c r="M89" i="7"/>
  <c r="N89" i="7" s="1"/>
  <c r="O89" i="7" s="1"/>
  <c r="P89" i="7" s="1"/>
  <c r="Q89" i="7" s="1"/>
  <c r="R89" i="7" s="1"/>
  <c r="S89" i="7" s="1"/>
  <c r="T89" i="7" s="1"/>
  <c r="U89" i="7" s="1"/>
  <c r="V89" i="7" s="1"/>
  <c r="W89" i="7" s="1"/>
  <c r="X89" i="7" s="1"/>
  <c r="Y89" i="7" s="1"/>
  <c r="Z89" i="7" s="1"/>
  <c r="AA89" i="7" s="1"/>
  <c r="AB89" i="7" s="1"/>
  <c r="AC89" i="7" s="1"/>
  <c r="AD89" i="7" s="1"/>
  <c r="AE89" i="7" s="1"/>
  <c r="AF89" i="7" s="1"/>
  <c r="K87" i="7"/>
  <c r="K91" i="7"/>
  <c r="AG96" i="7"/>
  <c r="AG95" i="7"/>
  <c r="AG97" i="7"/>
  <c r="AG94" i="7"/>
  <c r="AG98" i="7"/>
  <c r="K116" i="5"/>
  <c r="AG123" i="5"/>
  <c r="L113" i="5"/>
  <c r="M113" i="5" s="1"/>
  <c r="N113" i="5" s="1"/>
  <c r="O113" i="5" s="1"/>
  <c r="P113" i="5" s="1"/>
  <c r="Q113" i="5" s="1"/>
  <c r="R113" i="5" s="1"/>
  <c r="S113" i="5" s="1"/>
  <c r="T113" i="5" s="1"/>
  <c r="U113" i="5" s="1"/>
  <c r="V113" i="5" s="1"/>
  <c r="W113" i="5" s="1"/>
  <c r="X113" i="5" s="1"/>
  <c r="Y113" i="5" s="1"/>
  <c r="Z113" i="5" s="1"/>
  <c r="AA113" i="5" s="1"/>
  <c r="AB113" i="5" s="1"/>
  <c r="AC113" i="5" s="1"/>
  <c r="AD113" i="5" s="1"/>
  <c r="AE113" i="5" s="1"/>
  <c r="AF113" i="5" s="1"/>
  <c r="M114" i="5"/>
  <c r="N114" i="5" s="1"/>
  <c r="O114" i="5" s="1"/>
  <c r="P114" i="5" s="1"/>
  <c r="Q114" i="5" s="1"/>
  <c r="R114" i="5" s="1"/>
  <c r="S114" i="5" s="1"/>
  <c r="T114" i="5" s="1"/>
  <c r="U114" i="5" s="1"/>
  <c r="V114" i="5" s="1"/>
  <c r="W114" i="5" s="1"/>
  <c r="X114" i="5" s="1"/>
  <c r="Y114" i="5" s="1"/>
  <c r="Z114" i="5" s="1"/>
  <c r="AA114" i="5" s="1"/>
  <c r="AB114" i="5" s="1"/>
  <c r="AC114" i="5" s="1"/>
  <c r="AD114" i="5" s="1"/>
  <c r="AE114" i="5" s="1"/>
  <c r="AF114" i="5" s="1"/>
  <c r="AG120" i="5"/>
  <c r="AG122" i="5"/>
  <c r="AG121" i="5"/>
  <c r="K112" i="5"/>
  <c r="I112" i="5"/>
  <c r="K118" i="3"/>
  <c r="M116" i="3"/>
  <c r="N116" i="3" s="1"/>
  <c r="O116" i="3" s="1"/>
  <c r="P116" i="3" s="1"/>
  <c r="Q116" i="3" s="1"/>
  <c r="R116" i="3" s="1"/>
  <c r="S116" i="3" s="1"/>
  <c r="T116" i="3" s="1"/>
  <c r="U116" i="3" s="1"/>
  <c r="V116" i="3" s="1"/>
  <c r="W116" i="3" s="1"/>
  <c r="X116" i="3" s="1"/>
  <c r="Y116" i="3" s="1"/>
  <c r="Z116" i="3" s="1"/>
  <c r="AA116" i="3" s="1"/>
  <c r="AB116" i="3" s="1"/>
  <c r="AC116" i="3" s="1"/>
  <c r="AD116" i="3" s="1"/>
  <c r="AE116" i="3" s="1"/>
  <c r="AF116" i="3" s="1"/>
  <c r="AG123" i="3"/>
  <c r="L119" i="3"/>
  <c r="M119" i="3" s="1"/>
  <c r="N119" i="3" s="1"/>
  <c r="O119" i="3" s="1"/>
  <c r="P119" i="3" s="1"/>
  <c r="Q119" i="3" s="1"/>
  <c r="R119" i="3" s="1"/>
  <c r="S119" i="3" s="1"/>
  <c r="T119" i="3" s="1"/>
  <c r="U119" i="3" s="1"/>
  <c r="V119" i="3" s="1"/>
  <c r="W119" i="3" s="1"/>
  <c r="X119" i="3" s="1"/>
  <c r="Y119" i="3" s="1"/>
  <c r="Z119" i="3" s="1"/>
  <c r="AA119" i="3" s="1"/>
  <c r="AB119" i="3" s="1"/>
  <c r="AC119" i="3" s="1"/>
  <c r="AD119" i="3" s="1"/>
  <c r="AE119" i="3" s="1"/>
  <c r="AF119" i="3" s="1"/>
  <c r="AG125" i="3"/>
  <c r="AG124" i="3"/>
  <c r="AG122" i="3"/>
  <c r="K114" i="3"/>
  <c r="AG126" i="3"/>
  <c r="I87" i="7"/>
  <c r="I114" i="3"/>
  <c r="L115" i="3"/>
  <c r="M115" i="3" s="1"/>
  <c r="N115" i="3" s="1"/>
  <c r="O115" i="3" s="1"/>
  <c r="P115" i="3" s="1"/>
  <c r="Q115" i="3" s="1"/>
  <c r="R115" i="3" s="1"/>
  <c r="S115" i="3" s="1"/>
  <c r="T115" i="3" s="1"/>
  <c r="U115" i="3" s="1"/>
  <c r="V115" i="3" s="1"/>
  <c r="W115" i="3" s="1"/>
  <c r="X115" i="3" s="1"/>
  <c r="Y115" i="3" s="1"/>
  <c r="Z115" i="3" s="1"/>
  <c r="AA115" i="3" s="1"/>
  <c r="AB115" i="3" s="1"/>
  <c r="AC115" i="3" s="1"/>
  <c r="AD115" i="3" s="1"/>
  <c r="AE115" i="3" s="1"/>
  <c r="AF115" i="3" s="1"/>
  <c r="K92" i="7"/>
  <c r="L92" i="7"/>
  <c r="M92" i="7" s="1"/>
  <c r="N92" i="7" s="1"/>
  <c r="O92" i="7" s="1"/>
  <c r="P92" i="7" s="1"/>
  <c r="Q92" i="7" s="1"/>
  <c r="R92" i="7" s="1"/>
  <c r="S92" i="7" s="1"/>
  <c r="T92" i="7" s="1"/>
  <c r="U92" i="7" s="1"/>
  <c r="V92" i="7" s="1"/>
  <c r="W92" i="7" s="1"/>
  <c r="X92" i="7" s="1"/>
  <c r="Y92" i="7" s="1"/>
  <c r="Z92" i="7" s="1"/>
  <c r="AA92" i="7" s="1"/>
  <c r="AB92" i="7" s="1"/>
  <c r="AC92" i="7" s="1"/>
  <c r="AD92" i="7" s="1"/>
  <c r="AE92" i="7" s="1"/>
  <c r="AF92" i="7" s="1"/>
  <c r="L117" i="5"/>
  <c r="M117" i="5" s="1"/>
  <c r="N117" i="5" s="1"/>
  <c r="O117" i="5" s="1"/>
  <c r="P117" i="5" s="1"/>
  <c r="Q117" i="5" s="1"/>
  <c r="R117" i="5" s="1"/>
  <c r="S117" i="5" s="1"/>
  <c r="T117" i="5" s="1"/>
  <c r="U117" i="5" s="1"/>
  <c r="V117" i="5" s="1"/>
  <c r="W117" i="5" s="1"/>
  <c r="X117" i="5" s="1"/>
  <c r="Y117" i="5" s="1"/>
  <c r="Z117" i="5" s="1"/>
  <c r="AA117" i="5" s="1"/>
  <c r="AB117" i="5" s="1"/>
  <c r="AC117" i="5" s="1"/>
  <c r="AD117" i="5" s="1"/>
  <c r="AE117" i="5" s="1"/>
  <c r="AF11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7" authorId="0" shapeId="0" xr:uid="{00000000-0006-0000-0100-000002000000}">
      <text>
        <r>
          <rPr>
            <sz val="10"/>
            <color theme="1"/>
            <rFont val="Calibri"/>
            <scheme val="minor"/>
          </rPr>
          <t>======
ID#AAABuu-MR1k
    (2025-12-07 14:55:26)
Fill in when a product backlog item has been assigned to a specific sprint. After a Sprint planning meeting is done.</t>
        </r>
      </text>
    </comment>
    <comment ref="N7" authorId="0" shapeId="0" xr:uid="{00000000-0006-0000-0100-000001000000}">
      <text>
        <r>
          <rPr>
            <sz val="10"/>
            <color theme="1"/>
            <rFont val="Calibri"/>
            <scheme val="minor"/>
          </rPr>
          <t>======
ID#AAABuu-MR10
jan samuelsson    (2025-12-07 14:55:26)
Just rough numbers, 5,10,15,20 etc.
Not 7, 13, 21 etc.</t>
        </r>
      </text>
    </comment>
  </commentList>
  <extLst>
    <ext xmlns:r="http://schemas.openxmlformats.org/officeDocument/2006/relationships" uri="GoogleSheetsCustomDataVersion2">
      <go:sheetsCustomData xmlns:go="http://customooxmlschemas.google.com/" r:id="rId1" roundtripDataSignature="AMtx7mhejgO6y2Zz8v/jsNTqtbnoOScs7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200-000001000000}">
      <text>
        <r>
          <rPr>
            <sz val="10"/>
            <color theme="1"/>
            <rFont val="Calibri"/>
            <scheme val="minor"/>
          </rPr>
          <t>======
ID#AAAAeu_Dblw
jan samuelsson    (2022-08-23 14:14:25)
1st digit = Sprint number
2nd digit = Task number in this sprint</t>
        </r>
      </text>
    </comment>
    <comment ref="C7" authorId="0" shapeId="0" xr:uid="{00000000-0006-0000-0200-000002000000}">
      <text>
        <r>
          <rPr>
            <sz val="10"/>
            <color theme="1"/>
            <rFont val="Calibri"/>
            <scheme val="minor"/>
          </rPr>
          <t>======
ID#AAAAeu_Dbls
jan samuelsson    (2022-08-23 14:14:25)
Reference to the product backlog item you have decided to do in this sprint.
Usually a PB item is then divided into a number of Sprint tasks.</t>
        </r>
      </text>
    </comment>
  </commentList>
  <extLst>
    <ext xmlns:r="http://schemas.openxmlformats.org/officeDocument/2006/relationships" uri="GoogleSheetsCustomDataVersion2">
      <go:sheetsCustomData xmlns:go="http://customooxmlschemas.google.com/" r:id="rId1" roundtripDataSignature="AMtx7mi9M24d1U8ZLk+RZG12ZOytUdw3A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400-000002000000}">
      <text>
        <r>
          <rPr>
            <sz val="10"/>
            <color theme="1"/>
            <rFont val="Calibri"/>
            <scheme val="minor"/>
          </rPr>
          <t>======
ID#AAABuu-MR14
jan samuelsson    (2022-08-23 14:14:25)
1st digit = Sprint number
2nd digit = Task number in this sprint</t>
        </r>
      </text>
    </comment>
    <comment ref="C7" authorId="0" shapeId="0" xr:uid="{00000000-0006-0000-0400-000001000000}">
      <text>
        <r>
          <rPr>
            <sz val="10"/>
            <color theme="1"/>
            <rFont val="Calibri"/>
            <scheme val="minor"/>
          </rPr>
          <t>======
ID#AAABuu-MR1s
jan samuelsson    (2022-08-23 14:14:25)
Reference to the product backlog item you have decided to do in this sprint.
Usually a PB item is then divided into a number of Sprint tasks.</t>
        </r>
      </text>
    </comment>
  </commentList>
  <extLst>
    <ext xmlns:r="http://schemas.openxmlformats.org/officeDocument/2006/relationships" uri="GoogleSheetsCustomDataVersion2">
      <go:sheetsCustomData xmlns:go="http://customooxmlschemas.google.com/" r:id="rId1" roundtripDataSignature="AMtx7mgEvV6Vww3aLzzdYIxSIMlm5a6ZI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600-000002000000}">
      <text>
        <r>
          <rPr>
            <sz val="10"/>
            <color theme="1"/>
            <rFont val="Calibri"/>
            <scheme val="minor"/>
          </rPr>
          <t>======
ID#AAABuu-MR1o
jan samuelsson    (2022-08-23 14:14:25)
1st digit = Sprint number
2nd digit = Task number in this sprint</t>
        </r>
      </text>
    </comment>
    <comment ref="C7" authorId="0" shapeId="0" xr:uid="{00000000-0006-0000-0600-000001000000}">
      <text>
        <r>
          <rPr>
            <sz val="10"/>
            <color theme="1"/>
            <rFont val="Calibri"/>
            <scheme val="minor"/>
          </rPr>
          <t>======
ID#AAABuu-MR1w
jan samuelsson    (2022-08-23 14:14:25)
Reference to the product backlog item you have decided to do in this sprint.
Usually a PB item is then divided into a number of Sprint tasks.</t>
        </r>
      </text>
    </comment>
  </commentList>
  <extLst>
    <ext xmlns:r="http://schemas.openxmlformats.org/officeDocument/2006/relationships" uri="GoogleSheetsCustomDataVersion2">
      <go:sheetsCustomData xmlns:go="http://customooxmlschemas.google.com/" r:id="rId1" roundtripDataSignature="AMtx7mhowcZhYiKlOQcfjbALZXumbj/b9g=="/>
    </ext>
  </extLst>
</comments>
</file>

<file path=xl/sharedStrings.xml><?xml version="1.0" encoding="utf-8"?>
<sst xmlns="http://schemas.openxmlformats.org/spreadsheetml/2006/main" count="1928" uniqueCount="772">
  <si>
    <t>Scrum Project</t>
  </si>
  <si>
    <t>Sprint Plan</t>
  </si>
  <si>
    <t>Sprint</t>
  </si>
  <si>
    <t>Start</t>
  </si>
  <si>
    <t>End</t>
  </si>
  <si>
    <t>Status</t>
  </si>
  <si>
    <t>Work planned (Committed)</t>
  </si>
  <si>
    <t>Work spent (Delivered)</t>
  </si>
  <si>
    <t>Remarks</t>
  </si>
  <si>
    <t>1</t>
  </si>
  <si>
    <t>September 8,2025</t>
  </si>
  <si>
    <t>September 28,2025</t>
  </si>
  <si>
    <t>Complete</t>
  </si>
  <si>
    <t>2</t>
  </si>
  <si>
    <t>October 6, 2025</t>
  </si>
  <si>
    <t>October 26, 2025</t>
  </si>
  <si>
    <t>3</t>
  </si>
  <si>
    <t>November 3, 2025</t>
  </si>
  <si>
    <t>November 23, 2025</t>
  </si>
  <si>
    <t>Product Backlog</t>
  </si>
  <si>
    <t>Id</t>
  </si>
  <si>
    <t>Heading</t>
  </si>
  <si>
    <t>As a..</t>
  </si>
  <si>
    <t>I want to ..</t>
  </si>
  <si>
    <t>so that ..</t>
  </si>
  <si>
    <t>Acceptance Criteria</t>
  </si>
  <si>
    <t>Priority</t>
  </si>
  <si>
    <t>Type</t>
  </si>
  <si>
    <t>Project Id</t>
  </si>
  <si>
    <t>Sprint No</t>
  </si>
  <si>
    <t>Estimate
(Hours)</t>
  </si>
  <si>
    <t>Effort (Actual)</t>
  </si>
  <si>
    <t>Owner</t>
  </si>
  <si>
    <t>PB01</t>
  </si>
  <si>
    <t>Sign up</t>
  </si>
  <si>
    <t>register a new account</t>
  </si>
  <si>
    <t>PB02</t>
  </si>
  <si>
    <t>Log in</t>
  </si>
  <si>
    <t>log in to my account</t>
  </si>
  <si>
    <t>PB03</t>
  </si>
  <si>
    <t>PB04</t>
  </si>
  <si>
    <t>Log out</t>
  </si>
  <si>
    <t>log out of my account</t>
  </si>
  <si>
    <t>PB05</t>
  </si>
  <si>
    <t>Forgot password</t>
  </si>
  <si>
    <t>reset my password</t>
  </si>
  <si>
    <t>PB06</t>
  </si>
  <si>
    <t>PB07</t>
  </si>
  <si>
    <t>PB08</t>
  </si>
  <si>
    <t>PB09</t>
  </si>
  <si>
    <t>View profile(Admin)</t>
  </si>
  <si>
    <t>PB10</t>
  </si>
  <si>
    <t>PB11</t>
  </si>
  <si>
    <t>PB12</t>
  </si>
  <si>
    <t>PB13</t>
  </si>
  <si>
    <t>PB14</t>
  </si>
  <si>
    <t>PB15</t>
  </si>
  <si>
    <t>PB16</t>
  </si>
  <si>
    <t>PB17</t>
  </si>
  <si>
    <t>PB18</t>
  </si>
  <si>
    <t>PB19</t>
  </si>
  <si>
    <t>PB20</t>
  </si>
  <si>
    <t>Online marketplace</t>
  </si>
  <si>
    <t>PB21</t>
  </si>
  <si>
    <t>Search &amp; Filter Products</t>
  </si>
  <si>
    <t>PB22</t>
  </si>
  <si>
    <t>Shopping cart</t>
  </si>
  <si>
    <t>add, remove or update products in the cart</t>
  </si>
  <si>
    <t>PB23</t>
  </si>
  <si>
    <t>Coupon Management</t>
  </si>
  <si>
    <t>create, edit, delete, and manage coupon codes</t>
  </si>
  <si>
    <t>PB24</t>
  </si>
  <si>
    <t>Apply coupon code at checkout</t>
  </si>
  <si>
    <t>PB25</t>
  </si>
  <si>
    <t>PB26</t>
  </si>
  <si>
    <t>PB27</t>
  </si>
  <si>
    <t>Checkout</t>
  </si>
  <si>
    <t>review order and confirm payment</t>
  </si>
  <si>
    <t>PB28</t>
  </si>
  <si>
    <t>PB29</t>
  </si>
  <si>
    <t>COD payment</t>
  </si>
  <si>
    <t>choose cash on delivery</t>
  </si>
  <si>
    <t>pay after receiving the goods successfully</t>
  </si>
  <si>
    <t>PB30</t>
  </si>
  <si>
    <t>MoMo Payment</t>
  </si>
  <si>
    <t>payment by MoMo wallet</t>
  </si>
  <si>
    <t>complete transactions quickly</t>
  </si>
  <si>
    <t>PB31</t>
  </si>
  <si>
    <t>PB32</t>
  </si>
  <si>
    <t>Order management</t>
  </si>
  <si>
    <t>PB33</t>
  </si>
  <si>
    <t>Order history</t>
  </si>
  <si>
    <t>view my previous orders</t>
  </si>
  <si>
    <t>PB34</t>
  </si>
  <si>
    <t>PB35</t>
  </si>
  <si>
    <t>PB36</t>
  </si>
  <si>
    <t>PB37</t>
  </si>
  <si>
    <t>PB38</t>
  </si>
  <si>
    <t>Dashboard(Admin)</t>
  </si>
  <si>
    <t>view system statistics</t>
  </si>
  <si>
    <t>PB39</t>
  </si>
  <si>
    <t>PB40</t>
  </si>
  <si>
    <t>Lock/Unlock User Account</t>
  </si>
  <si>
    <t xml:space="preserve">
</t>
  </si>
  <si>
    <t>Sprint 1 Backlog</t>
  </si>
  <si>
    <t>Sprint Id</t>
  </si>
  <si>
    <t>Backlog Id</t>
  </si>
  <si>
    <t>Description</t>
  </si>
  <si>
    <t>Estimate (Hours)</t>
  </si>
  <si>
    <t>Completed</t>
  </si>
  <si>
    <t>Pending</t>
  </si>
  <si>
    <t>Total effort</t>
  </si>
  <si>
    <t>Effort vs. Estimate</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</si>
  <si>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</si>
  <si>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</si>
  <si>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</si>
  <si>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</si>
  <si>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</si>
  <si>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</si>
  <si>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</si>
  <si>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</si>
  <si>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</si>
  <si>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</si>
  <si>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</si>
  <si>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</si>
  <si>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</si>
  <si>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</si>
  <si>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</si>
  <si>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</si>
  <si>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</si>
  <si>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</si>
  <si>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</si>
  <si>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</si>
  <si>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</si>
  <si>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1,1</t>
  </si>
  <si>
    <t>Sprint Detail Plan</t>
  </si>
  <si>
    <t>Binh</t>
  </si>
  <si>
    <t>Done</t>
  </si>
  <si>
    <t>1,2</t>
  </si>
  <si>
    <t>Planning meeting</t>
  </si>
  <si>
    <t>All member</t>
  </si>
  <si>
    <t>1,3</t>
  </si>
  <si>
    <t>Create Proposal Document</t>
  </si>
  <si>
    <t>Thang</t>
  </si>
  <si>
    <t>1,4</t>
  </si>
  <si>
    <t>Create Project Plan Document</t>
  </si>
  <si>
    <t>Trang</t>
  </si>
  <si>
    <t>1,5</t>
  </si>
  <si>
    <t>Create Product Backlog Document</t>
  </si>
  <si>
    <t>1,6</t>
  </si>
  <si>
    <t>Create User Story Document</t>
  </si>
  <si>
    <t>Bao</t>
  </si>
  <si>
    <t>1,7</t>
  </si>
  <si>
    <t>Create Database Design Document</t>
  </si>
  <si>
    <t>Huy</t>
  </si>
  <si>
    <t>1,8</t>
  </si>
  <si>
    <t>Create Interface Design Document</t>
  </si>
  <si>
    <t>1,9</t>
  </si>
  <si>
    <t>Create Architecture Design Document</t>
  </si>
  <si>
    <t>1,10</t>
  </si>
  <si>
    <t>Create Sprint 1 Backlog</t>
  </si>
  <si>
    <t>1,11</t>
  </si>
  <si>
    <t>Create Test Plan for Sprint 1</t>
  </si>
  <si>
    <t>1,12</t>
  </si>
  <si>
    <t>Create Test Case for Sprint 1</t>
  </si>
  <si>
    <t>1,13</t>
  </si>
  <si>
    <t>Create Database</t>
  </si>
  <si>
    <t>1,14</t>
  </si>
  <si>
    <t>[Design]Sign up</t>
  </si>
  <si>
    <t>1,15</t>
  </si>
  <si>
    <t>[Design]Log in</t>
  </si>
  <si>
    <t>1,16</t>
  </si>
  <si>
    <t>1,17</t>
  </si>
  <si>
    <t>1,18</t>
  </si>
  <si>
    <t>[Design]Home page interface(Admin)</t>
  </si>
  <si>
    <t>1,19</t>
  </si>
  <si>
    <t>[Design]Log out</t>
  </si>
  <si>
    <t>1,20</t>
  </si>
  <si>
    <t>[Design]Forgot password</t>
  </si>
  <si>
    <t>1,21</t>
  </si>
  <si>
    <t>1,22</t>
  </si>
  <si>
    <t>[Design]View profile(Admin)</t>
  </si>
  <si>
    <t>1,23</t>
  </si>
  <si>
    <t>1,24</t>
  </si>
  <si>
    <t>1,25</t>
  </si>
  <si>
    <t>[FE]Sign up</t>
  </si>
  <si>
    <t>1,26</t>
  </si>
  <si>
    <t>[BE]Sign up</t>
  </si>
  <si>
    <t>1,27</t>
  </si>
  <si>
    <t>[FE]Log in</t>
  </si>
  <si>
    <t>1,28</t>
  </si>
  <si>
    <t>[BE]Log in</t>
  </si>
  <si>
    <t>1,29</t>
  </si>
  <si>
    <t>1,30</t>
  </si>
  <si>
    <t>1,31</t>
  </si>
  <si>
    <t>1,32</t>
  </si>
  <si>
    <t>1,33</t>
  </si>
  <si>
    <t>[FE]Home page interface(Admin)</t>
  </si>
  <si>
    <t>1,34</t>
  </si>
  <si>
    <t>[BE]Home page interface(Admin)</t>
  </si>
  <si>
    <t>1,35</t>
  </si>
  <si>
    <t>[FE]Log out</t>
  </si>
  <si>
    <t>1,36</t>
  </si>
  <si>
    <t>[BE]Log out</t>
  </si>
  <si>
    <t>1,37</t>
  </si>
  <si>
    <t>[FE]Forgot password</t>
  </si>
  <si>
    <t>1,38</t>
  </si>
  <si>
    <t>[BE]Forgot password</t>
  </si>
  <si>
    <t>1,39</t>
  </si>
  <si>
    <t>1,40</t>
  </si>
  <si>
    <t>1,41</t>
  </si>
  <si>
    <t>[FE]View profile(Admin)</t>
  </si>
  <si>
    <t>1,42</t>
  </si>
  <si>
    <t>[BE]View profile(Admin)</t>
  </si>
  <si>
    <t>1,43</t>
  </si>
  <si>
    <t>[Test]Sign up</t>
  </si>
  <si>
    <t>1,44</t>
  </si>
  <si>
    <t>[Test]Log in</t>
  </si>
  <si>
    <t>1,45</t>
  </si>
  <si>
    <t>1,46</t>
  </si>
  <si>
    <t>[Test]Log out</t>
  </si>
  <si>
    <t>1,47</t>
  </si>
  <si>
    <t>[Test]Forgot password</t>
  </si>
  <si>
    <t>1,48</t>
  </si>
  <si>
    <t>1,49</t>
  </si>
  <si>
    <t>[Test]Home page interface(Admin)</t>
  </si>
  <si>
    <t>1,50</t>
  </si>
  <si>
    <t>1,51</t>
  </si>
  <si>
    <t>[Test]View profile(Admin)</t>
  </si>
  <si>
    <t>1,52</t>
  </si>
  <si>
    <t>Sprint 1 Review Meeting</t>
  </si>
  <si>
    <t>1,53</t>
  </si>
  <si>
    <t>Sprint 1 Retrospective</t>
  </si>
  <si>
    <t>Total</t>
  </si>
  <si>
    <t>Burn down</t>
  </si>
  <si>
    <t>Burn up</t>
  </si>
  <si>
    <t>Hour/Day</t>
  </si>
  <si>
    <t>Estimate</t>
  </si>
  <si>
    <t>Actual</t>
  </si>
  <si>
    <t xml:space="preserve"> </t>
  </si>
  <si>
    <t>Reports &amp; Dashboards</t>
  </si>
  <si>
    <t>Burn down Chart</t>
  </si>
  <si>
    <t>Sprint 2 Backlog</t>
  </si>
  <si>
    <t>Planning Meeting</t>
  </si>
  <si>
    <t>Update Database Design Document</t>
  </si>
  <si>
    <t>Update Interface Design Document</t>
  </si>
  <si>
    <t>Create Sprint 2 Backlog</t>
  </si>
  <si>
    <t>Create Test Plan for Sprint 2</t>
  </si>
  <si>
    <t>Create Test Case for Sprint 2</t>
  </si>
  <si>
    <t>Update Database</t>
  </si>
  <si>
    <t>[Design]Category Management</t>
  </si>
  <si>
    <t>[Design]Product Management</t>
  </si>
  <si>
    <t>[Design]Online marketplace</t>
  </si>
  <si>
    <t>[Design]Search &amp; Filter Products</t>
  </si>
  <si>
    <t>[Design]Shopping cart</t>
  </si>
  <si>
    <t>[Design]Coupon Management</t>
  </si>
  <si>
    <t>[Design]Apply coupon code at checkout</t>
  </si>
  <si>
    <t xml:space="preserve">Huy </t>
  </si>
  <si>
    <t>[FE]Category Management</t>
  </si>
  <si>
    <t>[BE]Category Management</t>
  </si>
  <si>
    <t>[FE]Product Management</t>
  </si>
  <si>
    <t>[BE]Product Management</t>
  </si>
  <si>
    <t>[FE]Online marketplace</t>
  </si>
  <si>
    <t>[BE]Online marketplace</t>
  </si>
  <si>
    <t>[FE]Search &amp; Filter Products</t>
  </si>
  <si>
    <t>[BE]Search &amp; Filter Products</t>
  </si>
  <si>
    <t>[FE]Shopping cart</t>
  </si>
  <si>
    <t>[BE]Shopping cart</t>
  </si>
  <si>
    <t>[FE]Coupon Management</t>
  </si>
  <si>
    <t>[BE]Coupon Management</t>
  </si>
  <si>
    <t>[FE]Apply coupon code at checkout</t>
  </si>
  <si>
    <t>[BE]Apply coupon code at checkout</t>
  </si>
  <si>
    <t>[BE]Edit profile(Admin)</t>
  </si>
  <si>
    <t>1,54</t>
  </si>
  <si>
    <t>1,55</t>
  </si>
  <si>
    <t>1,56</t>
  </si>
  <si>
    <t>1,57</t>
  </si>
  <si>
    <t>[Test]Category Management</t>
  </si>
  <si>
    <t>1,58</t>
  </si>
  <si>
    <t>[Test]Product Management</t>
  </si>
  <si>
    <t>1,59</t>
  </si>
  <si>
    <t>[Test]Online marketplace</t>
  </si>
  <si>
    <t>1,60</t>
  </si>
  <si>
    <t>[Test]Search &amp; Filter Products</t>
  </si>
  <si>
    <t>1,61</t>
  </si>
  <si>
    <t>[Test]Shopping cart</t>
  </si>
  <si>
    <t>1,63</t>
  </si>
  <si>
    <t>[Test]Coupon Management</t>
  </si>
  <si>
    <t>1,64</t>
  </si>
  <si>
    <t>[Test]Apply coupon code at checkout</t>
  </si>
  <si>
    <t>1,65</t>
  </si>
  <si>
    <t>1,66</t>
  </si>
  <si>
    <t>[Test]Edit profile(Admin)</t>
  </si>
  <si>
    <t>1,67</t>
  </si>
  <si>
    <t>Sprint 2 Review Meeting</t>
  </si>
  <si>
    <t>1,68</t>
  </si>
  <si>
    <t>Sprint 2 Retrospective</t>
  </si>
  <si>
    <t>Sprint 3 Backlog</t>
  </si>
  <si>
    <t>Create Sprint 3 Backlog</t>
  </si>
  <si>
    <t>Create Test Plan for Sprint 3</t>
  </si>
  <si>
    <t>Create Test Case for Sprint 3</t>
  </si>
  <si>
    <t>[Design]Checkout</t>
  </si>
  <si>
    <t>[Design]MoMo Payment</t>
  </si>
  <si>
    <t>[Design]Order management</t>
  </si>
  <si>
    <t>[Design]Order history</t>
  </si>
  <si>
    <t>[Design]Dashboard(Admin)</t>
  </si>
  <si>
    <t>[Design]Lock/Unlock User Account</t>
  </si>
  <si>
    <t>[FE]Checkout</t>
  </si>
  <si>
    <t>[BE]Checkout</t>
  </si>
  <si>
    <t>[BE]COD payment</t>
  </si>
  <si>
    <t>[FE]MoMo Payment</t>
  </si>
  <si>
    <t>[BE]MoMo Payment</t>
  </si>
  <si>
    <t>[FE]Order management</t>
  </si>
  <si>
    <t>[BE]Order management</t>
  </si>
  <si>
    <t>[FE]Order history</t>
  </si>
  <si>
    <t>[BE]Order history</t>
  </si>
  <si>
    <t>[FE]Dashboard(Admin)</t>
  </si>
  <si>
    <t>[BE]Dashboard(Admin)</t>
  </si>
  <si>
    <t>[FE]Lock/Unlock User Account</t>
  </si>
  <si>
    <t>[BE]Lock/Unlock User Account</t>
  </si>
  <si>
    <t>[Test]Checkout</t>
  </si>
  <si>
    <t>[Test]COD payment</t>
  </si>
  <si>
    <t>[Test]MoMo Payment</t>
  </si>
  <si>
    <t>[Test]Order management</t>
  </si>
  <si>
    <t>[Test]Order history</t>
  </si>
  <si>
    <t>[Test]Dashboard(Admin)</t>
  </si>
  <si>
    <t>[Test]Lock/Unlock User Account</t>
  </si>
  <si>
    <t>1,62</t>
  </si>
  <si>
    <t>Sprint 3 Review Meeting</t>
  </si>
  <si>
    <t>Sprint 3 Retrospective</t>
  </si>
  <si>
    <t>Impediments</t>
  </si>
  <si>
    <t>Raised By</t>
  </si>
  <si>
    <t>Raised On</t>
  </si>
  <si>
    <t>Sprint #</t>
  </si>
  <si>
    <t>Impacted Backlog #</t>
  </si>
  <si>
    <t>Resolution</t>
  </si>
  <si>
    <t>Resolved On</t>
  </si>
  <si>
    <t>Login with Gmail account failed</t>
  </si>
  <si>
    <t>Resolved</t>
  </si>
  <si>
    <t>Fixed Google OAuth configuration and updated authentication flow</t>
  </si>
  <si>
    <t>Firebase connection error</t>
  </si>
  <si>
    <t xml:space="preserve">Updated API key 	</t>
  </si>
  <si>
    <t>Chatbot not responding</t>
  </si>
  <si>
    <t>Fixed webhook flow with AI service</t>
  </si>
  <si>
    <t>User profile avatar not displayed</t>
  </si>
  <si>
    <t>Fixed image URL mapping and updated user avatar loading API</t>
  </si>
  <si>
    <t>Retrospective Log</t>
  </si>
  <si>
    <t>Start Doing (Improvement)</t>
  </si>
  <si>
    <t>Continue Doing (What Went Well)</t>
  </si>
  <si>
    <t>Stop Doing (Even better if)</t>
  </si>
  <si>
    <t>Team leader</t>
  </si>
  <si>
    <t>Apply git for version management and jira for work division.</t>
  </si>
  <si>
    <t>Continue daily standup meetings on time, with clear goals</t>
  </si>
  <si>
    <t>Do not change the sprint scope suddenly</t>
  </si>
  <si>
    <t>Sprint completed on schedule</t>
  </si>
  <si>
    <t>Developer</t>
  </si>
  <si>
    <t>Write more automated test cases for the search module</t>
  </si>
  <si>
    <t>Maintain thorough code reviews before merging</t>
  </si>
  <si>
    <t>Avoid letting many small bugs accumulate</t>
  </si>
  <si>
    <t>Some errors were discovered late</t>
  </si>
  <si>
    <t>Tester</t>
  </si>
  <si>
    <t>Enhance coordination between testers and developers when testing functions</t>
  </si>
  <si>
    <t>Continue to use effective task management tools</t>
  </si>
  <si>
    <t>Do not hold unnecessary meetings</t>
  </si>
  <si>
    <t>Testers need more testing resources</t>
  </si>
  <si>
    <t>References</t>
  </si>
  <si>
    <t>External</t>
  </si>
  <si>
    <t>Internal</t>
  </si>
  <si>
    <t>Link</t>
  </si>
  <si>
    <t>Glossary &amp; Terminology</t>
  </si>
  <si>
    <t>https://www.scrumalliance.org/community/articles/2007/march/glossary-of-scrum-terms</t>
  </si>
  <si>
    <t>Sprint Backlog Template (Excel)</t>
  </si>
  <si>
    <t>Official Scrum Guide</t>
  </si>
  <si>
    <t>https://scrumguides.org/scrum-guide.html</t>
  </si>
  <si>
    <t>Scrum Alliance</t>
  </si>
  <si>
    <r>
      <rPr>
        <sz val="10"/>
        <color theme="10"/>
        <rFont val="Calibri"/>
      </rPr>
      <t>:</t>
    </r>
    <r>
      <rPr>
        <u/>
        <sz val="10"/>
        <color theme="10"/>
        <rFont val="Calibri"/>
      </rPr>
      <t xml:space="preserve"> https://www.scrumalliance.org/</t>
    </r>
  </si>
  <si>
    <t>Mountain Goat Software (Mike Cohn)</t>
  </si>
  <si>
    <t>https://www.mountaingoatsoftware.com/agile/scrum/sprint-backlog</t>
  </si>
  <si>
    <t>Home page interface(Admin)</t>
  </si>
  <si>
    <t>Home page interface(Supermarket Admin)</t>
  </si>
  <si>
    <t>Home page interface(Staff)</t>
  </si>
  <si>
    <t>Home page interface(Charity)</t>
  </si>
  <si>
    <t>Home page interface(Customer)</t>
  </si>
  <si>
    <t>Home page interface(Delivery)</t>
  </si>
  <si>
    <t>View profile(Supermarket Admin)</t>
  </si>
  <si>
    <t>View profile(Staff)</t>
  </si>
  <si>
    <t>View profile(Charity)</t>
  </si>
  <si>
    <t>View profile(Customer)</t>
  </si>
  <si>
    <t>View profile(Delivery)</t>
  </si>
  <si>
    <t>Supermarket manager</t>
  </si>
  <si>
    <t>PB41</t>
  </si>
  <si>
    <t>PB42</t>
  </si>
  <si>
    <t>PB43</t>
  </si>
  <si>
    <t>Charity organization management</t>
  </si>
  <si>
    <t>Delivery management</t>
  </si>
  <si>
    <t>User management</t>
  </si>
  <si>
    <t>Dashboard(Supermarket Admin)</t>
  </si>
  <si>
    <t>Dashboard(Staff)</t>
  </si>
  <si>
    <t>Dashboard(Charity)</t>
  </si>
  <si>
    <t>Dashboard(Customer)</t>
  </si>
  <si>
    <t>Dashboard(Delivery)</t>
  </si>
  <si>
    <t>Category management</t>
  </si>
  <si>
    <t>Product management</t>
  </si>
  <si>
    <t>Store management</t>
  </si>
  <si>
    <t>Store staff management</t>
  </si>
  <si>
    <t>Policy configuration</t>
  </si>
  <si>
    <t>Monitoring donations</t>
  </si>
  <si>
    <t>Inventory</t>
  </si>
  <si>
    <t>Donation management</t>
  </si>
  <si>
    <t>Audit log(Admin)</t>
  </si>
  <si>
    <t>Audit log(Supermarket Admin)</t>
  </si>
  <si>
    <t>Delivery History</t>
  </si>
  <si>
    <t>Orders(Delivery)</t>
  </si>
  <si>
    <t>Orders(Customer)</t>
  </si>
  <si>
    <t>PB44</t>
  </si>
  <si>
    <t>PB45</t>
  </si>
  <si>
    <t>PB46</t>
  </si>
  <si>
    <t>PB47</t>
  </si>
  <si>
    <t>PB48</t>
  </si>
  <si>
    <t>PB49</t>
  </si>
  <si>
    <t>PB50</t>
  </si>
  <si>
    <t>PB51</t>
  </si>
  <si>
    <t>PB52</t>
  </si>
  <si>
    <t>PB53</t>
  </si>
  <si>
    <t>PB54</t>
  </si>
  <si>
    <t>PB55</t>
  </si>
  <si>
    <t>View Notification</t>
  </si>
  <si>
    <t>Send Notification</t>
  </si>
  <si>
    <t>User</t>
  </si>
  <si>
    <t>I can access the system and use all features</t>
  </si>
  <si>
    <t>I can securely access my account</t>
  </si>
  <si>
    <t>User enters email or username and password
System verifies login information
Valid → login successful and redirected
Invalid → error message displayed
Session/token generated</t>
  </si>
  <si>
    <t>User must input required fields: email,username, password, confirm password
Email must be unique in the system
Password must meet security policy
Confirm password must match password
System shows clear validation messages
Account is created successfully</t>
  </si>
  <si>
    <t>I can keep my account secure</t>
  </si>
  <si>
    <t>User clicks logout
Session is destroyed
Redirect to login page
Cannot access system after logout</t>
  </si>
  <si>
    <t>I can regain access to my account</t>
  </si>
  <si>
    <t>User enters registered email
System sends reset email
Link is time-limited
User can set new password
Password updated successfully</t>
  </si>
  <si>
    <t>I can monitor overall system performance</t>
  </si>
  <si>
    <t>see home page</t>
  </si>
  <si>
    <t>I can learn about the functions</t>
  </si>
  <si>
    <t>Load within 3 seconds
Only admin can access</t>
  </si>
  <si>
    <t>Display total number of stores in the supermarket chain
Show number of near-expiry products across all stores
Show statistics of donation vs discounted sales
Data must be restricted to the admin’s supermarket (multi-tenant isolation)
Dashboard loads within acceptable time (&lt;3s)</t>
  </si>
  <si>
    <t>Display inventory summary (total items, near-expiry items)
Show list of pending and active orders
Display alerts for near-expiry products
Data must only belong to the assigned store</t>
  </si>
  <si>
    <t>Display list of available donation offers
Show request status (pending, approved, rejected)
Show donation history</t>
  </si>
  <si>
    <t>Display product list with name, price, discount, expiry date
Only show valid (not expired) products
Allow navigation to product detail page
System performance acceptable (&lt;3s)</t>
  </si>
  <si>
    <t>Display assigned orders
Show delivery status
Allow updating status (delivering, delivered)
Data must be accurate</t>
  </si>
  <si>
    <t>view my profile</t>
  </si>
  <si>
    <t>I can verify and manage my account details</t>
  </si>
  <si>
    <t>Display full name, email, phone number and role
Data must match information stored in the database
Sensitive information such as passwords should not be displayed
Change password
The page must load successfully without errors</t>
  </si>
  <si>
    <t>lock or unlock user accounts</t>
  </si>
  <si>
    <t>I can restrict access for users who violate system policies</t>
  </si>
  <si>
    <t>Admin can change user status (active/locked)
Locked users cannot log in
System displays account status clearly
All actions must be logged for auditing</t>
  </si>
  <si>
    <t>System,Admin</t>
  </si>
  <si>
    <t>Admin</t>
  </si>
  <si>
    <t>Supermarket Admin</t>
  </si>
  <si>
    <t>Staff</t>
  </si>
  <si>
    <t>Charity</t>
  </si>
  <si>
    <t>Customer</t>
  </si>
  <si>
    <t>Delivery</t>
  </si>
  <si>
    <t>manage supermarket accounts</t>
  </si>
  <si>
    <t>I can control system structure and entities</t>
  </si>
  <si>
    <t>Create, update, delete supermarket accounts
Assign a supermarket admin to each supermarket
Validate required information before saving
Prevent duplicate supermarket data</t>
  </si>
  <si>
    <t>manage charity organizations</t>
  </si>
  <si>
    <t>I can control and support donation operations</t>
  </si>
  <si>
    <t>Create, update, delete charity organizations
Activate or deactivate organization status
Validate unique email for each organization
Display list of organizations</t>
  </si>
  <si>
    <t>manage delivery accounts</t>
  </si>
  <si>
    <t>I can handle logistics and order delivery</t>
  </si>
  <si>
    <t>Create, update, delete delivery staff
Track delivery status
Ensure data consistency</t>
  </si>
  <si>
    <t>manage all user accounts in the system</t>
  </si>
  <si>
    <t>I can control access</t>
  </si>
  <si>
    <t>System validates required fields before saving
Admin can search and filter users
All changes must be saved in the database</t>
  </si>
  <si>
    <t>All</t>
  </si>
  <si>
    <t>manage stores under my supermarket</t>
  </si>
  <si>
    <t>I can organize and control store operations</t>
  </si>
  <si>
    <t>Create, update, delete store
Validate required information
Display store list</t>
  </si>
  <si>
    <t>personnel management</t>
  </si>
  <si>
    <t>I can assign responsibilities and manage operations</t>
  </si>
  <si>
    <t>Create and assign staff to store
Update staff information
Lock/unlock staff account
Staff must belong to a specific store</t>
  </si>
  <si>
    <t>configure expiry and discount policies</t>
  </si>
  <si>
    <t>the system can automatically handle near-expiry products</t>
  </si>
  <si>
    <t>Set near-expiry threshold
Configure discount percentage rules
Save configuration successfully
Apply policy to products</t>
  </si>
  <si>
    <t>monitor donation activities</t>
  </si>
  <si>
    <t>I can evaluate donation impact</t>
  </si>
  <si>
    <t>Display total donation quantity
Show donation history
Filter by date/time
Data must be accurate</t>
  </si>
  <si>
    <t>manage product categories</t>
  </si>
  <si>
    <t>products are organized clearly</t>
  </si>
  <si>
    <t>manage products and pricing</t>
  </si>
  <si>
    <t>product data is accurate</t>
  </si>
  <si>
    <t>Add, update, delete product
Validate name, price, stock
Prevent negative values
Changes reflect immediately</t>
  </si>
  <si>
    <t>Add, edit, delete categories
Validate category name
Save data to database</t>
  </si>
  <si>
    <t>manage inventory by batch</t>
  </si>
  <si>
    <t>I can track expiry dates precisely</t>
  </si>
  <si>
    <t>Add inventory batch (batch code, expiry date, quantity)
Expiry date must be valid
Update stock per batch
Display batch list</t>
  </si>
  <si>
    <t>automatically check product expiry</t>
  </si>
  <si>
    <t>expired products are not sold</t>
  </si>
  <si>
    <t>Compare expiry date with current date
Mark expired products
Hide expired products from marketplace</t>
  </si>
  <si>
    <t>Check expiration date</t>
  </si>
  <si>
    <t>Near-expiry detection</t>
  </si>
  <si>
    <t>detect near-expiry products</t>
  </si>
  <si>
    <t>trigger discount or donation</t>
  </si>
  <si>
    <t>Identify products within threshold
Mark as near-expiry
Trigger alerts</t>
  </si>
  <si>
    <t>manage customer orders</t>
  </si>
  <si>
    <t>I can process and fulfill them</t>
  </si>
  <si>
    <t>View order list
Update status
Cancel if needed</t>
  </si>
  <si>
    <t>manage donation process</t>
  </si>
  <si>
    <t>distribute products</t>
  </si>
  <si>
    <t>Create donation
Approve requests
Track status</t>
  </si>
  <si>
    <t>view and manage assigned delivery orders</t>
  </si>
  <si>
    <t>I can complete deliveries accurately and on time</t>
  </si>
  <si>
    <t>Display list of orders assigned to the delivery staff
Each order shows: order ID, customer info, delivery address, status
Delivery staff can update order status (assigned → delivering → delivered)
System validates status transitions (cannot skip steps)
Updated status must be saved to database immediately
Delivery staff can view order details</t>
  </si>
  <si>
    <t>view my delivery history</t>
  </si>
  <si>
    <t>I can track completed deliveries and performance</t>
  </si>
  <si>
    <t>Display list of completed delivery orders
Each record shows: order ID, delivery date, status
Allow filtering by date range
Data must be accurate and belong to the logged-in delivery staff
Page loads without errors</t>
  </si>
  <si>
    <t>browse a list of available near-expiry products</t>
  </si>
  <si>
    <t>I can choose products to purchase at discounted prices</t>
  </si>
  <si>
    <t>Display product list with: name, price, discount, expiry date, stock
Only show products that are not expired
Allow sorting (price, expiry date, discount)
Allow filtering by category
Page loads within acceptable time (&lt;3 seconds)
Clicking a product navigates to product detail page</t>
  </si>
  <si>
    <t>search and filter products by name and category</t>
  </si>
  <si>
    <t>I can quickly find relevant products</t>
  </si>
  <si>
    <t>User can search products by keyword (name)
User can filter by category
Results must match search criteria
Results update dynamically or after search action
No expired products are displayed
System performance acceptable</t>
  </si>
  <si>
    <t>I can manage items before checkout</t>
  </si>
  <si>
    <t>User can add products to cart
User can update quantity of each product
User can remove products from cart
Total price is calculated correctly
Cannot add quantity greater than available stock
Cart persists during session</t>
  </si>
  <si>
    <t>view my orders</t>
  </si>
  <si>
    <t>I can track my purchases and order status</t>
  </si>
  <si>
    <t>Display list of customer orders
Each order shows: order ID, total price, status, payment method
User can view order details
Orders are sorted by latest first
Data must be accurate</t>
  </si>
  <si>
    <t>I can run promotional campaigns</t>
  </si>
  <si>
    <t>Create coupon with code, discount value, expiry date
Update or disable coupon
Validate coupon uniqueness
Expired coupons cannot be used
Display coupon list</t>
  </si>
  <si>
    <t>apply a coupon code during checkout</t>
  </si>
  <si>
    <t>I can receive a discount</t>
  </si>
  <si>
    <t>User can enter coupon code
System validates code
Discount applied correctly
Invalid code shows error message
Cannot apply multiple unsupported coupons</t>
  </si>
  <si>
    <t>I can complete the purchase</t>
  </si>
  <si>
    <t>Display order summary (items, price, discount, total)
Allow selecting address and payment method
Confirm order successfully
Save order to database
Show confirmation message</t>
  </si>
  <si>
    <t>COD option is displayed in payment methods
User can select COD before placing order
Order is saved with payment method = COD
System shows instruction for COD payment
Order status updates to “completed” after successful delivery
No online payment is required</t>
  </si>
  <si>
    <t>User can select MoMo payment method
System redirects to MoMo payment gateway
Payment success updates order status to “paid”
Payment failure keeps order in “pending” state
Transaction information is stored in database
System shows clear success/failure message</t>
  </si>
  <si>
    <t>Display list of all past orders
Each order includes: order ID, date, total, status
Allow user to view order details
Support pagination for large data
Data must belong to logged-in user</t>
  </si>
  <si>
    <t>I can track previous purchases</t>
  </si>
  <si>
    <t>view system audit logs</t>
  </si>
  <si>
    <t>I can track user activities and system changes</t>
  </si>
  <si>
    <t>Display total users, orders, revenue
Show charts/statistics
Data updates correctly
Only admin access</t>
  </si>
  <si>
    <t>view audit logs related to my supermarket</t>
  </si>
  <si>
    <t>I can monitor activities and ensure compliance within my organization</t>
  </si>
  <si>
    <t>Display logs of actions performed within the supermarket scope (staff actions, product updates, orders, donations)
Each log must include: user ID, action type, timestamp, affected entity
Allow filtering logs by date range, user, and action type
Logs must be read-only (cannot be edited or deleted)
Only logs related to the admin’s supermarket are visible (data isolation)
Page must load efficiently (&lt;3 seconds)</t>
  </si>
  <si>
    <t>view a dashboard with business metrics</t>
  </si>
  <si>
    <t>I can track performance across stores</t>
  </si>
  <si>
    <t>Display total number of stores, staff, and products
Show number of near-expiry products
Show total orders and revenue
Display donation vs sales statistics
Allow filtering by time (daily, monthly)
Data must reflect only the admin’s supermarket
Dashboard loads quickly and charts render correctly</t>
  </si>
  <si>
    <t>view my store dashboard</t>
  </si>
  <si>
    <t>I can manage daily operations efficiently</t>
  </si>
  <si>
    <t>Display total inventory and near-expiry products
Show pending and completed orders
Show alerts for low stock and near-expiry items
Data must belong to assigned store
Page loads correctly without errors</t>
  </si>
  <si>
    <t>view donation dashboard</t>
  </si>
  <si>
    <t>I can track received and pending donations</t>
  </si>
  <si>
    <t>Display list of received donations
Show pending donation requests
Show donation statistics
Data must belong to the organization
Page loads correctly</t>
  </si>
  <si>
    <t>view my personal dashboard</t>
  </si>
  <si>
    <t>I can manage my shopping activities</t>
  </si>
  <si>
    <t>Display recent orders
Show total spending
Show active coupons (if any)
Page loads successfully</t>
  </si>
  <si>
    <t>view my delivery dashboard</t>
  </si>
  <si>
    <t>I can track my assigned and completed deliveries</t>
  </si>
  <si>
    <t>Display assigned orders
Show completed deliveries
Show delivery performance metrics
Page loads correctly</t>
  </si>
  <si>
    <t>send notifications to users</t>
  </si>
  <si>
    <t>keep users informed about important events</t>
  </si>
  <si>
    <t>Send notification when order status changes
Send notification when donation is approved/rejected
Send notification when product is near expiry (for staff/admin)
Store notifications in database
Support multiple user roles
Notifications are delivered in real-time or near real-time</t>
  </si>
  <si>
    <t>view and manage my notifications</t>
  </si>
  <si>
    <t>I can stay updated with system activities</t>
  </si>
  <si>
    <t>Display list of notifications
Show notification content and timestamp
Allow marking notifications as read/unread
Sort notifications by latest
Notifications must belong to the logged-in user
Page loads correctly</t>
  </si>
  <si>
    <t>[Design]Home page interface(Supermarket Admin)</t>
  </si>
  <si>
    <t>[Design]Home page interface(Staff)</t>
  </si>
  <si>
    <t>[Design]Home page interface(Delivery)</t>
  </si>
  <si>
    <t>[Design]Home page interface(Customer)</t>
  </si>
  <si>
    <t>[Design]Home page interface(Charity)</t>
  </si>
  <si>
    <t>[Design]View profile(Supermarket Admin)</t>
  </si>
  <si>
    <t>[Design]View profile(Staff)</t>
  </si>
  <si>
    <t>[Design]View profile(Charity)</t>
  </si>
  <si>
    <t>[Design]View profile(Delivery)</t>
  </si>
  <si>
    <t>1,69</t>
  </si>
  <si>
    <t>1,70</t>
  </si>
  <si>
    <t>1,71</t>
  </si>
  <si>
    <t>1,72</t>
  </si>
  <si>
    <t>1,73</t>
  </si>
  <si>
    <t>1,74</t>
  </si>
  <si>
    <t>1,75</t>
  </si>
  <si>
    <t>1,76</t>
  </si>
  <si>
    <t>1,77</t>
  </si>
  <si>
    <t>1,78</t>
  </si>
  <si>
    <t>1,79</t>
  </si>
  <si>
    <t>1,80</t>
  </si>
  <si>
    <t>1,81</t>
  </si>
  <si>
    <t>1,82</t>
  </si>
  <si>
    <t>1,83</t>
  </si>
  <si>
    <t>1,84</t>
  </si>
  <si>
    <t>[Test]Home page interface(Supermarket Admin)</t>
  </si>
  <si>
    <t>[Test]Home page interface(Staff)</t>
  </si>
  <si>
    <t>[Test]Home page interface(Charity)</t>
  </si>
  <si>
    <t>[Test]Home page interface(Delivery)</t>
  </si>
  <si>
    <t>[Test]Home page interface(Customer)</t>
  </si>
  <si>
    <t>[Test]View profile(Supermarket Admin)</t>
  </si>
  <si>
    <t>[Test]View profile(Staff)</t>
  </si>
  <si>
    <t>[Test]View profile(Charity)</t>
  </si>
  <si>
    <t>[Test]View profile(Delivery)</t>
  </si>
  <si>
    <t>[Test]View profile(Customer)</t>
  </si>
  <si>
    <t>1,85</t>
  </si>
  <si>
    <t>1,86</t>
  </si>
  <si>
    <t>1,87</t>
  </si>
  <si>
    <t>1,88</t>
  </si>
  <si>
    <t>1,89</t>
  </si>
  <si>
    <t>1,90</t>
  </si>
  <si>
    <t>[Design]Supermarket manager</t>
  </si>
  <si>
    <t>[Design]Charity organization management</t>
  </si>
  <si>
    <t>[Design]Delivery management</t>
  </si>
  <si>
    <t>[Design]User management</t>
  </si>
  <si>
    <t>[Design]Store management</t>
  </si>
  <si>
    <t>[Design]Policy configuration</t>
  </si>
  <si>
    <t>[Design]Monitoring donations</t>
  </si>
  <si>
    <t>[Design]Inventory</t>
  </si>
  <si>
    <t>[Design]Check expiration date</t>
  </si>
  <si>
    <t>[Design]Near-expiry detection</t>
  </si>
  <si>
    <t>[Design]Donation management</t>
  </si>
  <si>
    <t>[Design]Orders(Delivery)</t>
  </si>
  <si>
    <t>[Design]Delivery History</t>
  </si>
  <si>
    <t>PB56</t>
  </si>
  <si>
    <t>Donation Offer Marketplace</t>
  </si>
  <si>
    <t>browse and view available donation offers from supermarkets</t>
  </si>
  <si>
    <t>I can request suitable products for my organization</t>
  </si>
  <si>
    <t>Display list of available donation offers (products near expiry or unsold stock)
Each offer includes: product name, quantity, expiry date, supermarket/store info
Only show offers that are still available (not expired or fully claimed)
Charity can submit a request to receive donation
System validates request (cannot exceed available quantity)
Request is recorded with status = “pending”
Page loads efficiently (&lt;3 seconds)</t>
  </si>
  <si>
    <t>Donation History &amp; Status</t>
  </si>
  <si>
    <t>view my donation request history and status</t>
  </si>
  <si>
    <t>I can track which donations are approved, pending, or rejected</t>
  </si>
  <si>
    <t>Display list of all donation requests made by the charity
Each record includes: product name, quantity requested, request date, status
Status includes: pending, approved, rejected, completed
Allow filtering by status and date
Data must belong to the logged-in charity account
Page supports pagination for large data</t>
  </si>
  <si>
    <t>[Design]Donation Offer Marketplace</t>
  </si>
  <si>
    <t>[Design]Donation History &amp; Status</t>
  </si>
  <si>
    <t>1,91</t>
  </si>
  <si>
    <t>1,92</t>
  </si>
  <si>
    <t>1,93</t>
  </si>
  <si>
    <t>1,94</t>
  </si>
  <si>
    <t>1,95</t>
  </si>
  <si>
    <t>1,96</t>
  </si>
  <si>
    <t>[Test]Supermarket manager</t>
  </si>
  <si>
    <t>[Test]Charity organization management</t>
  </si>
  <si>
    <t>[Test]Delivery management</t>
  </si>
  <si>
    <t>[Test]User management</t>
  </si>
  <si>
    <t>[Test]Store management</t>
  </si>
  <si>
    <t>[Test]Policy configuration</t>
  </si>
  <si>
    <t>[Test]Monitoring donations</t>
  </si>
  <si>
    <t>[Test]Inventory</t>
  </si>
  <si>
    <t>[Test]Check expiration date</t>
  </si>
  <si>
    <t>[Test]Near-expiry detection</t>
  </si>
  <si>
    <t>[Test]Donation management</t>
  </si>
  <si>
    <t>[Test]Donation Offer Marketplace</t>
  </si>
  <si>
    <t>[Test]Donation History &amp; Status</t>
  </si>
  <si>
    <t>[Test]Orders(Delivery)</t>
  </si>
  <si>
    <t>[Test]Delivery History</t>
  </si>
  <si>
    <t>[FE]Supermarket manager</t>
  </si>
  <si>
    <t>[BE]Supermarket manager</t>
  </si>
  <si>
    <t>[FE]Charity organization management</t>
  </si>
  <si>
    <t>[BE]Charity organization management</t>
  </si>
  <si>
    <t>[FE]User management</t>
  </si>
  <si>
    <t>[BE]User management</t>
  </si>
  <si>
    <t>[FE]Store management</t>
  </si>
  <si>
    <t>[BE]Store management</t>
  </si>
  <si>
    <t>[FE]Policy configuration</t>
  </si>
  <si>
    <t>[BE]Policy configuration</t>
  </si>
  <si>
    <t>[FE]Monitoring donations</t>
  </si>
  <si>
    <t>[BE]Monitoring donations</t>
  </si>
  <si>
    <t>[FE]Inventory</t>
  </si>
  <si>
    <t>[BE]Inventory</t>
  </si>
  <si>
    <t>[FE]Check expiration date</t>
  </si>
  <si>
    <t>[BE]Check expiration date</t>
  </si>
  <si>
    <t>[FE]Near-expiry detection</t>
  </si>
  <si>
    <t>[BE]Near-expiry detection</t>
  </si>
  <si>
    <t>[FE]Donation management</t>
  </si>
  <si>
    <t>[BE]Donation management</t>
  </si>
  <si>
    <t>[FE]Donation Offer Marketplace</t>
  </si>
  <si>
    <t>[BE]Donation Offer Marketplace</t>
  </si>
  <si>
    <t>[FE]Donation History &amp; Status</t>
  </si>
  <si>
    <t>[BE]Donation History &amp; Status</t>
  </si>
  <si>
    <t>[FE]Orders(Delivery)</t>
  </si>
  <si>
    <t>[BE]Orders(Delivery)</t>
  </si>
  <si>
    <t>[FE]Delivery History</t>
  </si>
  <si>
    <t>[BE]Delivery History</t>
  </si>
  <si>
    <t>[Design]Store staff management</t>
  </si>
  <si>
    <t>[FE]Store staff management</t>
  </si>
  <si>
    <t>[BE]Store staff management</t>
  </si>
  <si>
    <t>[FE]Delivery management</t>
  </si>
  <si>
    <t>[BE]Delivery management</t>
  </si>
  <si>
    <t>[BE]Edit profile(Supermarket Admin)</t>
  </si>
  <si>
    <t>[BE]Edit profile(Staff)</t>
  </si>
  <si>
    <t>[BE]Edit profile(Charity)</t>
  </si>
  <si>
    <t>[BE]Edit profile(Delivery)</t>
  </si>
  <si>
    <t>[BE]Edit profile(Customer)</t>
  </si>
  <si>
    <t>[Test]Edit profile(Supermarket Admin)</t>
  </si>
  <si>
    <t>[Test]Edit profile(Staff)</t>
  </si>
  <si>
    <t>[Test]Edit profile(Charity)</t>
  </si>
  <si>
    <t>[Test]Edit profile(Delivery)</t>
  </si>
  <si>
    <t>[Test]Edit profile(Customer)</t>
  </si>
  <si>
    <t>PB57</t>
  </si>
  <si>
    <t>PB58</t>
  </si>
  <si>
    <t>PB59</t>
  </si>
  <si>
    <t>PB60</t>
  </si>
  <si>
    <t>PB61</t>
  </si>
  <si>
    <t>PB62</t>
  </si>
  <si>
    <t>[FE]Home page interface(Staff)</t>
  </si>
  <si>
    <t>[BE]Home page interface(Staff)</t>
  </si>
  <si>
    <t>[FE]Home page interface(Charity)</t>
  </si>
  <si>
    <t>[BE]Home page interface(Charity)</t>
  </si>
  <si>
    <t>[FE]Home page interface(Delivery)</t>
  </si>
  <si>
    <t>[BE]Home page interface(Delivery)</t>
  </si>
  <si>
    <t>[FE]Home page interface(Customer)</t>
  </si>
  <si>
    <t>[BE]Home page interface(Customer)</t>
  </si>
  <si>
    <t>[FE]View profile(Supermarket Admin)</t>
  </si>
  <si>
    <t>[BE]View profile(Supermarket Admin)</t>
  </si>
  <si>
    <t>[FE]View profile(Staff)</t>
  </si>
  <si>
    <t>[FE]]View profile(Charity)</t>
  </si>
  <si>
    <t>[FE]View profile(Delivery)</t>
  </si>
  <si>
    <t>[FE]View profile(Customer)</t>
  </si>
  <si>
    <t>[BE]View profile(Staff)</t>
  </si>
  <si>
    <t>[BE]]View profile(Charity)</t>
  </si>
  <si>
    <t>[BE]View profile(Delivery)</t>
  </si>
  <si>
    <t>[BE]View profile(Customer)</t>
  </si>
  <si>
    <t>[FE]Home page interface(Supermarket Admin)</t>
  </si>
  <si>
    <t>[BE]Home page interface(Supermarket Admin)</t>
  </si>
  <si>
    <t>1,97</t>
  </si>
  <si>
    <t>Edit profile(Admin)</t>
  </si>
  <si>
    <t>Edit profile(Supermarket Admin)</t>
  </si>
  <si>
    <t>Edit profile(Staff)</t>
  </si>
  <si>
    <t>Edit profile(Charity)</t>
  </si>
  <si>
    <t>Edit profile(Delivery)</t>
  </si>
  <si>
    <t>Edit profile(Customer)</t>
  </si>
  <si>
    <t>edit my profile information</t>
  </si>
  <si>
    <t>I can keep my account information accurate and up to date</t>
  </si>
  <si>
    <t>Users can update their name and phone number.
Email address is editable.
Input fields must be validated (required fields, formatting).
Changes are successfully saved to the database.
The system clearly displays success/error messages.
Sensitive data (passwords) are not leaked.
Only authenticated users can access this feature.</t>
  </si>
  <si>
    <t>Users can update their name and phone number.
Email addresses are editable.
Input fields must be validated (required fields, formatting).
Changes are successfully saved to the database.
The system clearly displays success/error messages.
Sensitive data (passwords) are not leaked.
Only authenticated users can access this feature.
Addresses can be added/edited/deleted.</t>
  </si>
  <si>
    <t>[Design]Orders(Customer)</t>
  </si>
  <si>
    <t>[Design]Audit log(Admin)</t>
  </si>
  <si>
    <t>[Design]Audit log(Supermarket Admin)</t>
  </si>
  <si>
    <t>[Design]Dashboard(Supermarket Admin)</t>
  </si>
  <si>
    <t>[Design]Dashboard(Staff)</t>
  </si>
  <si>
    <t>[Design]Dashboard(Charity)</t>
  </si>
  <si>
    <t>[Design]Dashboard(Customer)</t>
  </si>
  <si>
    <t>[Design]Dashboard(Delivery)</t>
  </si>
  <si>
    <t>[Design]View Notification</t>
  </si>
  <si>
    <t>[FE]Orders(Customer)</t>
  </si>
  <si>
    <t>[BE]Orders(Customer)</t>
  </si>
  <si>
    <t>[FE]Audit log(Admin)</t>
  </si>
  <si>
    <t>[BE]Audit log(Admin)</t>
  </si>
  <si>
    <t>[FE]Audit log(Supermarket Admin)</t>
  </si>
  <si>
    <t>[BE]Audit log(Supermarket Admin)</t>
  </si>
  <si>
    <t>[FE]Dashboard(Supermarket Admin)</t>
  </si>
  <si>
    <t>[BE]Dashboard(Supermarket Admin)</t>
  </si>
  <si>
    <t>[FE]Dashboard(Staff)</t>
  </si>
  <si>
    <t>[BE]Dashboard(Staff)</t>
  </si>
  <si>
    <t>[FE]Dashboard(Charity)</t>
  </si>
  <si>
    <t>[BE]Dashboard(Charity)</t>
  </si>
  <si>
    <t>[FE]Dashboard(Customer)</t>
  </si>
  <si>
    <t>[BE]Dashboard(Customer)</t>
  </si>
  <si>
    <t>[FE]Dashboard(Delivery)</t>
  </si>
  <si>
    <t>[BE]Dashboard(Delivery)</t>
  </si>
  <si>
    <t>[FE]View Notification</t>
  </si>
  <si>
    <t>[BE]View Notification</t>
  </si>
  <si>
    <t>[BE]Send Notification</t>
  </si>
  <si>
    <t>[Test]Orders(Customer)</t>
  </si>
  <si>
    <t>[Test]Audit log(Admin)</t>
  </si>
  <si>
    <t>[Test]Audit log(Supermarket Admin)</t>
  </si>
  <si>
    <t>[Test]Dashboard(Supermarket Admin)</t>
  </si>
  <si>
    <t>[Test]Dashboard(Staff)</t>
  </si>
  <si>
    <t>[Test]Dashboard(Charity)</t>
  </si>
  <si>
    <t>[Test]Dashboard(Customer)</t>
  </si>
  <si>
    <t>[Test]Dashboard(Delivery)</t>
  </si>
  <si>
    <t>[Test]View Notification</t>
  </si>
  <si>
    <t>[Test]Send Notification</t>
  </si>
  <si>
    <t>[Design]Edit profile(Admin)</t>
  </si>
  <si>
    <t>[Design]Edit profile(Supermarket Admin)</t>
  </si>
  <si>
    <t>[Design]Edit profile(Staff)</t>
  </si>
  <si>
    <t>[Design]Edit profile(Charity)</t>
  </si>
  <si>
    <t>[Design]Edit profile(Delivery)</t>
  </si>
  <si>
    <t>[Design]Edit profile(Customer)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</si>
</sst>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theme="1"/>
      <name val="Calibri"/>
      <scheme val="minor"/>
    </font>
    <font>
      <sz val="10"/>
      <color theme="1"/>
      <name val="Calibri"/>
    </font>
    <font>
      <b/>
      <sz val="14"/>
      <color theme="1"/>
      <name val="Calibri"/>
    </font>
    <font>
      <b/>
      <sz val="11"/>
      <color theme="1"/>
      <name val="Calibri"/>
    </font>
    <font>
      <i/>
      <sz val="10"/>
      <color theme="1"/>
      <name val="Calibri"/>
    </font>
    <font>
      <b/>
      <sz val="16"/>
      <color theme="1"/>
      <name val="Calibri"/>
    </font>
    <font>
      <sz val="10"/>
      <name val="Calibri"/>
    </font>
    <font>
      <sz val="12"/>
      <color theme="1"/>
      <name val="Calibri"/>
    </font>
    <font>
      <sz val="12"/>
      <color theme="1"/>
      <name val="Times New Roman"/>
    </font>
    <font>
      <sz val="12"/>
      <color theme="1"/>
      <name val="Calibri"/>
      <scheme val="minor"/>
    </font>
    <font>
      <sz val="14"/>
      <color theme="1"/>
      <name val="Calibri"/>
    </font>
    <font>
      <sz val="14"/>
      <color theme="1"/>
      <name val="Calibri"/>
      <scheme val="minor"/>
    </font>
    <font>
      <sz val="10"/>
      <color theme="1"/>
      <name val="Times New Roman"/>
    </font>
    <font>
      <sz val="8"/>
      <color theme="1"/>
      <name val="Times New Roman"/>
    </font>
    <font>
      <sz val="9"/>
      <color theme="1"/>
      <name val="Times New Roman"/>
    </font>
    <font>
      <b/>
      <sz val="16"/>
      <color theme="1"/>
      <name val="Times New Roman"/>
    </font>
    <font>
      <b/>
      <sz val="14"/>
      <color theme="1"/>
      <name val="Times New Roman"/>
    </font>
    <font>
      <sz val="11"/>
      <color theme="1"/>
      <name val="Times New Roman"/>
    </font>
    <font>
      <sz val="10"/>
      <color rgb="FF000000"/>
      <name val="Times New Roman"/>
    </font>
    <font>
      <b/>
      <sz val="10"/>
      <color theme="1"/>
      <name val="Times New Roman"/>
    </font>
    <font>
      <sz val="12"/>
      <color rgb="FFFF0000"/>
      <name val="Times New Roman"/>
    </font>
    <font>
      <b/>
      <sz val="12"/>
      <color theme="1"/>
      <name val="Calibri"/>
    </font>
    <font>
      <sz val="8"/>
      <color theme="1"/>
      <name val="Calibri"/>
    </font>
    <font>
      <sz val="9"/>
      <color theme="1"/>
      <name val="Calibri"/>
    </font>
    <font>
      <b/>
      <sz val="10"/>
      <color theme="1"/>
      <name val="Calibri"/>
    </font>
    <font>
      <sz val="11"/>
      <color theme="1"/>
      <name val="Calibri"/>
    </font>
    <font>
      <b/>
      <sz val="18"/>
      <color theme="1"/>
      <name val="Calibri"/>
    </font>
    <font>
      <b/>
      <sz val="13"/>
      <color theme="1"/>
      <name val="Times New Roman"/>
    </font>
    <font>
      <sz val="13"/>
      <color theme="1"/>
      <name val="Times New Roman"/>
    </font>
    <font>
      <u/>
      <sz val="10"/>
      <color theme="10"/>
      <name val="Calibri"/>
    </font>
    <font>
      <u/>
      <sz val="10"/>
      <color theme="10"/>
      <name val="Calibri"/>
    </font>
    <font>
      <sz val="10"/>
      <color theme="10"/>
      <name val="Calibri"/>
    </font>
    <font>
      <sz val="8"/>
      <name val="Calibri"/>
      <scheme val="minor"/>
    </font>
    <font>
      <sz val="10"/>
      <color theme="1"/>
      <name val="Calibri"/>
      <family val="2"/>
    </font>
    <font>
      <sz val="12"/>
      <color theme="1"/>
      <name val="Times New Roman"/>
      <family val="1"/>
    </font>
    <font>
      <sz val="10"/>
      <color theme="1"/>
      <name val="Times New Roman"/>
      <family val="1"/>
    </font>
    <font>
      <sz val="8"/>
      <name val="Calibri"/>
      <family val="2"/>
      <scheme val="minor"/>
    </font>
    <font>
      <sz val="12"/>
      <color theme="1"/>
      <name val="Calibri"/>
      <family val="2"/>
    </font>
  </fonts>
  <fills count="12">
    <fill>
      <patternFill patternType="none"/>
    </fill>
    <fill>
      <patternFill patternType="gray125"/>
    </fill>
    <fill>
      <patternFill patternType="solid">
        <fgColor rgb="FFFFE598"/>
        <bgColor rgb="FFFFE598"/>
      </patternFill>
    </fill>
    <fill>
      <patternFill patternType="solid">
        <fgColor rgb="FF9CC2E5"/>
        <bgColor rgb="FF9CC2E5"/>
      </patternFill>
    </fill>
    <fill>
      <patternFill patternType="solid">
        <fgColor rgb="FFC8C8C8"/>
        <bgColor rgb="FFC8C8C8"/>
      </patternFill>
    </fill>
    <fill>
      <patternFill patternType="solid">
        <fgColor rgb="FFC5E0B3"/>
        <bgColor rgb="FFC5E0B3"/>
      </patternFill>
    </fill>
    <fill>
      <patternFill patternType="solid">
        <fgColor rgb="FFFFFFFF"/>
        <bgColor rgb="FFFFFFFF"/>
      </patternFill>
    </fill>
    <fill>
      <patternFill patternType="solid">
        <fgColor rgb="FFD6DCE4"/>
        <bgColor rgb="FFD6DCE4"/>
      </patternFill>
    </fill>
    <fill>
      <patternFill patternType="solid">
        <fgColor rgb="FF8EAADB"/>
        <bgColor rgb="FF8EAADB"/>
      </patternFill>
    </fill>
    <fill>
      <patternFill patternType="solid">
        <fgColor rgb="FFF2F2F2"/>
        <bgColor rgb="FFF2F2F2"/>
      </patternFill>
    </fill>
    <fill>
      <patternFill patternType="solid">
        <fgColor theme="0"/>
        <bgColor theme="0"/>
      </patternFill>
    </fill>
    <fill>
      <patternFill patternType="solid">
        <fgColor rgb="FFBFBFBF"/>
        <bgColor rgb="FFBFBFBF"/>
      </patternFill>
    </fill>
  </fills>
  <borders count="32">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style="thin">
        <color rgb="FFBFBFBF"/>
      </top>
      <bottom/>
      <diagonal/>
    </border>
    <border>
      <left style="thin">
        <color rgb="FFA5A5A5"/>
      </left>
      <right style="thin">
        <color rgb="FFA5A5A5"/>
      </right>
      <top style="thin">
        <color rgb="FFA5A5A5"/>
      </top>
      <bottom style="thin">
        <color rgb="FFA5A5A5"/>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style="thin">
        <color rgb="FFBFBFBF"/>
      </left>
      <right style="thin">
        <color rgb="FFBFBFBF"/>
      </right>
      <top/>
      <bottom/>
      <diagonal/>
    </border>
    <border>
      <left style="thin">
        <color rgb="FFB7B7B7"/>
      </left>
      <right style="thin">
        <color rgb="FFBFBFBF"/>
      </right>
      <top style="thin">
        <color rgb="FFB7B7B7"/>
      </top>
      <bottom style="thin">
        <color rgb="FFB7B7B7"/>
      </bottom>
      <diagonal/>
    </border>
    <border>
      <left/>
      <right/>
      <top/>
      <bottom style="thin">
        <color rgb="FFA5A5A5"/>
      </bottom>
      <diagonal/>
    </border>
    <border>
      <left style="thin">
        <color rgb="FF000000"/>
      </left>
      <right style="thin">
        <color rgb="FF000000"/>
      </right>
      <top style="thin">
        <color rgb="FF000000"/>
      </top>
      <bottom/>
      <diagonal/>
    </border>
    <border>
      <left/>
      <right style="thin">
        <color rgb="FFA5A5A5"/>
      </right>
      <top/>
      <bottom style="thin">
        <color rgb="FFA5A5A5"/>
      </bottom>
      <diagonal/>
    </border>
    <border>
      <left style="thin">
        <color rgb="FFA5A5A5"/>
      </left>
      <right style="thin">
        <color rgb="FFA5A5A5"/>
      </right>
      <top/>
      <bottom/>
      <diagonal/>
    </border>
    <border>
      <left style="thin">
        <color rgb="FFBFBFBF"/>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A5A5A5"/>
      </left>
      <right style="thin">
        <color rgb="FFBFBFBF"/>
      </right>
      <top style="thin">
        <color rgb="FFA5A5A5"/>
      </top>
      <bottom style="thin">
        <color rgb="FFA5A5A5"/>
      </bottom>
      <diagonal/>
    </border>
    <border>
      <left style="thin">
        <color rgb="FFA5A5A5"/>
      </left>
      <right/>
      <top/>
      <bottom style="thin">
        <color rgb="FFA5A5A5"/>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diagonal/>
    </border>
    <border>
      <left/>
      <right/>
      <top/>
      <bottom/>
      <diagonal/>
    </border>
    <border>
      <left/>
      <right/>
      <top/>
      <bottom/>
      <diagonal/>
    </border>
    <border>
      <left style="thin">
        <color rgb="FF000000"/>
      </left>
      <right style="thin">
        <color rgb="FF000000"/>
      </right>
      <top style="thin">
        <color rgb="FF000000"/>
      </top>
      <bottom/>
      <diagonal/>
    </border>
    <border>
      <left/>
      <right style="thin">
        <color rgb="FFBFBFBF"/>
      </right>
      <top style="thin">
        <color rgb="FFBFBFBF"/>
      </top>
      <bottom/>
      <diagonal/>
    </border>
    <border>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
      <left style="thin">
        <color rgb="FFA5A5A5"/>
      </left>
      <right style="thin">
        <color rgb="FFA5A5A5"/>
      </right>
      <top/>
      <bottom style="thin">
        <color rgb="FFA5A5A5"/>
      </bottom>
      <diagonal/>
    </border>
    <border>
      <left/>
      <right style="thin">
        <color rgb="FFB7B7B7"/>
      </right>
      <top style="thin">
        <color rgb="FFB7B7B7"/>
      </top>
      <bottom style="thin">
        <color rgb="FFB7B7B7"/>
      </bottom>
      <diagonal/>
    </border>
    <border>
      <left style="thin">
        <color rgb="FFBFBFBF"/>
      </left>
      <right style="thin">
        <color rgb="FFBFBFBF"/>
      </right>
      <top/>
      <bottom style="thin">
        <color rgb="FFBFBFB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225">
    <xf numFmtId="0" fontId="0" fillId="0" borderId="0" xfId="0"/>
    <xf numFmtId="0" fontId="1" fillId="0" borderId="0" xfId="0" applyFont="1"/>
    <xf numFmtId="0" fontId="2" fillId="0" borderId="0" xfId="0" applyFont="1"/>
    <xf numFmtId="0" fontId="3" fillId="0" borderId="0" xfId="0" applyFont="1" applyAlignment="1">
      <alignment horizontal="right"/>
    </xf>
    <xf numFmtId="0" fontId="3" fillId="0" borderId="0" xfId="0" applyFont="1"/>
    <xf numFmtId="0" fontId="4" fillId="0" borderId="0" xfId="0" applyFont="1" applyAlignment="1">
      <alignment vertical="center"/>
    </xf>
    <xf numFmtId="0" fontId="1" fillId="0" borderId="0" xfId="0" applyFont="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49" fontId="1" fillId="0" borderId="2" xfId="0" applyNumberFormat="1" applyFont="1" applyBorder="1" applyAlignment="1">
      <alignment horizontal="center"/>
    </xf>
    <xf numFmtId="0" fontId="1" fillId="0" borderId="2" xfId="0" applyFont="1" applyBorder="1" applyAlignment="1">
      <alignment horizontal="center"/>
    </xf>
    <xf numFmtId="0" fontId="1" fillId="0" borderId="0" xfId="0" applyFont="1" applyAlignment="1">
      <alignment wrapText="1"/>
    </xf>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center" vertical="center"/>
    </xf>
    <xf numFmtId="0" fontId="5" fillId="0" borderId="0" xfId="0" applyFont="1"/>
    <xf numFmtId="0" fontId="7" fillId="3" borderId="4" xfId="0" applyFont="1" applyFill="1" applyBorder="1" applyAlignment="1">
      <alignment horizontal="center" vertical="center"/>
    </xf>
    <xf numFmtId="0" fontId="7" fillId="3" borderId="4" xfId="0" applyFont="1" applyFill="1" applyBorder="1" applyAlignment="1">
      <alignment horizontal="center" vertical="center" wrapText="1"/>
    </xf>
    <xf numFmtId="0" fontId="7" fillId="4" borderId="4" xfId="0" applyFont="1" applyFill="1" applyBorder="1" applyAlignment="1">
      <alignment horizontal="center" vertical="center"/>
    </xf>
    <xf numFmtId="0" fontId="7" fillId="5" borderId="4" xfId="0" applyFont="1" applyFill="1" applyBorder="1" applyAlignment="1">
      <alignment horizontal="center" vertical="center"/>
    </xf>
    <xf numFmtId="0" fontId="1" fillId="0" borderId="0" xfId="0" applyFont="1" applyAlignment="1">
      <alignment vertical="center"/>
    </xf>
    <xf numFmtId="0" fontId="12" fillId="0" borderId="0" xfId="0" applyFont="1"/>
    <xf numFmtId="0" fontId="12" fillId="0" borderId="0" xfId="0" applyFont="1" applyAlignment="1">
      <alignment horizontal="center" vertical="center"/>
    </xf>
    <xf numFmtId="0" fontId="12" fillId="0" borderId="0" xfId="0" applyFont="1" applyAlignment="1">
      <alignment horizontal="center"/>
    </xf>
    <xf numFmtId="0" fontId="16" fillId="0" borderId="0" xfId="0" applyFont="1" applyAlignment="1">
      <alignment horizontal="center" vertical="center"/>
    </xf>
    <xf numFmtId="0" fontId="12" fillId="3"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center" vertical="center" textRotation="90" wrapText="1"/>
    </xf>
    <xf numFmtId="49" fontId="12" fillId="0" borderId="7" xfId="0" applyNumberFormat="1" applyFont="1" applyBorder="1" applyAlignment="1">
      <alignment horizontal="center" vertical="center"/>
    </xf>
    <xf numFmtId="0" fontId="12" fillId="0" borderId="2" xfId="0" applyFont="1" applyBorder="1" applyAlignment="1">
      <alignment horizontal="center" vertical="center"/>
    </xf>
    <xf numFmtId="0" fontId="12"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12" fillId="7" borderId="2" xfId="0" applyFont="1" applyFill="1" applyBorder="1" applyAlignment="1">
      <alignment horizontal="center" vertical="center"/>
    </xf>
    <xf numFmtId="0" fontId="8" fillId="0" borderId="7" xfId="0" applyFont="1" applyBorder="1" applyAlignment="1">
      <alignment horizontal="center" vertical="center"/>
    </xf>
    <xf numFmtId="0" fontId="17" fillId="6" borderId="7" xfId="0" applyFont="1" applyFill="1" applyBorder="1" applyAlignment="1">
      <alignment vertical="center" wrapText="1"/>
    </xf>
    <xf numFmtId="0" fontId="12" fillId="0" borderId="2" xfId="0" applyFont="1" applyBorder="1" applyAlignment="1">
      <alignment vertical="center"/>
    </xf>
    <xf numFmtId="49" fontId="12" fillId="8" borderId="7" xfId="0" applyNumberFormat="1" applyFont="1" applyFill="1" applyBorder="1" applyAlignment="1">
      <alignment horizontal="center" vertical="center"/>
    </xf>
    <xf numFmtId="0" fontId="12" fillId="8" borderId="2" xfId="0" applyFont="1" applyFill="1" applyBorder="1" applyAlignment="1">
      <alignment horizontal="center" vertical="center"/>
    </xf>
    <xf numFmtId="0" fontId="12" fillId="8" borderId="1" xfId="0" applyFont="1" applyFill="1" applyBorder="1" applyAlignment="1">
      <alignment vertical="center"/>
    </xf>
    <xf numFmtId="0" fontId="12" fillId="0" borderId="7" xfId="0" applyFont="1" applyBorder="1" applyAlignment="1">
      <alignment horizontal="center" vertical="center"/>
    </xf>
    <xf numFmtId="0" fontId="12" fillId="0" borderId="5" xfId="0" applyFont="1" applyBorder="1" applyAlignment="1">
      <alignment horizontal="left" vertical="center"/>
    </xf>
    <xf numFmtId="0" fontId="12" fillId="0" borderId="5" xfId="0" applyFont="1" applyBorder="1" applyAlignment="1">
      <alignment horizontal="left" vertical="center" wrapText="1"/>
    </xf>
    <xf numFmtId="0" fontId="12" fillId="8" borderId="1" xfId="0" applyFont="1" applyFill="1" applyBorder="1" applyAlignment="1">
      <alignment horizontal="center" vertical="center"/>
    </xf>
    <xf numFmtId="0" fontId="12" fillId="8" borderId="5" xfId="0" applyFont="1" applyFill="1" applyBorder="1" applyAlignment="1">
      <alignment horizontal="left" vertical="center" wrapText="1"/>
    </xf>
    <xf numFmtId="0" fontId="12" fillId="8" borderId="7" xfId="0" applyFont="1" applyFill="1" applyBorder="1" applyAlignment="1">
      <alignment horizontal="center" vertical="center"/>
    </xf>
    <xf numFmtId="0" fontId="12" fillId="8" borderId="1" xfId="0" applyFont="1" applyFill="1" applyBorder="1" applyAlignment="1">
      <alignment horizontal="left" vertical="center" wrapText="1"/>
    </xf>
    <xf numFmtId="0" fontId="12" fillId="0" borderId="7" xfId="0" applyFont="1" applyBorder="1" applyAlignment="1">
      <alignment horizontal="left" vertical="center" wrapText="1"/>
    </xf>
    <xf numFmtId="0" fontId="12" fillId="8" borderId="9" xfId="0" applyFont="1" applyFill="1" applyBorder="1" applyAlignment="1">
      <alignment horizontal="left" vertical="center" wrapText="1"/>
    </xf>
    <xf numFmtId="0" fontId="18" fillId="0" borderId="10" xfId="0" applyFont="1" applyBorder="1" applyAlignment="1">
      <alignment vertical="center"/>
    </xf>
    <xf numFmtId="0" fontId="18" fillId="0" borderId="0" xfId="0" applyFont="1" applyAlignment="1">
      <alignment vertical="center"/>
    </xf>
    <xf numFmtId="0" fontId="12" fillId="7" borderId="1" xfId="0" applyFont="1" applyFill="1" applyBorder="1" applyAlignment="1">
      <alignment horizontal="center" vertical="center"/>
    </xf>
    <xf numFmtId="0" fontId="12" fillId="7" borderId="1" xfId="0" applyFont="1" applyFill="1" applyBorder="1" applyAlignment="1">
      <alignment vertical="center"/>
    </xf>
    <xf numFmtId="0" fontId="12" fillId="7" borderId="2" xfId="0" applyFont="1" applyFill="1" applyBorder="1" applyAlignment="1">
      <alignment vertical="center"/>
    </xf>
    <xf numFmtId="0" fontId="12" fillId="9" borderId="1" xfId="0" applyFont="1" applyFill="1" applyBorder="1" applyAlignment="1">
      <alignment horizontal="center" vertical="center"/>
    </xf>
    <xf numFmtId="0" fontId="12" fillId="9" borderId="1" xfId="0" applyFont="1" applyFill="1" applyBorder="1" applyAlignment="1">
      <alignment vertical="center"/>
    </xf>
    <xf numFmtId="0" fontId="19" fillId="9" borderId="2" xfId="0" applyFont="1" applyFill="1" applyBorder="1" applyAlignment="1">
      <alignment horizontal="right" vertical="center"/>
    </xf>
    <xf numFmtId="0" fontId="12" fillId="9" borderId="2" xfId="0" applyFont="1" applyFill="1" applyBorder="1" applyAlignment="1">
      <alignment horizontal="center" vertical="center"/>
    </xf>
    <xf numFmtId="0" fontId="12" fillId="9" borderId="1" xfId="0" applyFont="1" applyFill="1" applyBorder="1" applyAlignment="1">
      <alignment horizontal="center"/>
    </xf>
    <xf numFmtId="0" fontId="12" fillId="9" borderId="1" xfId="0" applyFont="1" applyFill="1" applyBorder="1"/>
    <xf numFmtId="0" fontId="8" fillId="0" borderId="6" xfId="0" applyFont="1" applyBorder="1" applyAlignment="1">
      <alignment vertical="center"/>
    </xf>
    <xf numFmtId="0" fontId="8" fillId="0" borderId="0" xfId="0" applyFont="1" applyAlignment="1">
      <alignment vertical="center"/>
    </xf>
    <xf numFmtId="1" fontId="8" fillId="0" borderId="6" xfId="0" applyNumberFormat="1" applyFont="1" applyBorder="1" applyAlignment="1">
      <alignment vertical="center"/>
    </xf>
    <xf numFmtId="0" fontId="20" fillId="0" borderId="6" xfId="0" applyFont="1" applyBorder="1" applyAlignment="1">
      <alignment vertical="center"/>
    </xf>
    <xf numFmtId="0" fontId="20" fillId="6" borderId="6" xfId="0" applyFont="1" applyFill="1" applyBorder="1" applyAlignment="1">
      <alignment vertical="center" wrapText="1"/>
    </xf>
    <xf numFmtId="0" fontId="20" fillId="6" borderId="11" xfId="0" applyFont="1" applyFill="1" applyBorder="1" applyAlignment="1">
      <alignment vertical="center" wrapText="1"/>
    </xf>
    <xf numFmtId="0" fontId="21" fillId="0" borderId="0" xfId="0" applyFont="1"/>
    <xf numFmtId="0" fontId="1" fillId="0" borderId="0" xfId="0" applyFont="1" applyAlignment="1">
      <alignment horizontal="center"/>
    </xf>
    <xf numFmtId="0" fontId="2" fillId="0" borderId="0" xfId="0" applyFont="1" applyAlignment="1">
      <alignment horizontal="center" vertical="center"/>
    </xf>
    <xf numFmtId="0" fontId="1" fillId="3"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2" xfId="0" applyFont="1" applyFill="1" applyBorder="1" applyAlignment="1">
      <alignment horizontal="center" vertical="center" textRotation="90" wrapText="1"/>
    </xf>
    <xf numFmtId="49" fontId="1" fillId="0" borderId="7" xfId="0" applyNumberFormat="1" applyFont="1" applyBorder="1" applyAlignment="1">
      <alignment horizontal="center" vertical="center"/>
    </xf>
    <xf numFmtId="0" fontId="1" fillId="0" borderId="2" xfId="0" applyFont="1" applyBorder="1" applyAlignment="1">
      <alignment horizontal="center" vertical="center"/>
    </xf>
    <xf numFmtId="0" fontId="18" fillId="0" borderId="12" xfId="0" applyFont="1" applyBorder="1" applyAlignment="1">
      <alignment vertical="center"/>
    </xf>
    <xf numFmtId="0" fontId="12" fillId="0" borderId="12" xfId="0" applyFont="1" applyBorder="1" applyAlignment="1">
      <alignment horizontal="center" vertical="center" wrapText="1"/>
    </xf>
    <xf numFmtId="0" fontId="1" fillId="7" borderId="2" xfId="0" applyFont="1" applyFill="1" applyBorder="1" applyAlignment="1">
      <alignment horizontal="center" vertical="center"/>
    </xf>
    <xf numFmtId="0" fontId="12" fillId="0" borderId="13" xfId="0" applyFont="1" applyBorder="1" applyAlignment="1">
      <alignment horizontal="center" vertical="center" wrapText="1"/>
    </xf>
    <xf numFmtId="0" fontId="12" fillId="0" borderId="7" xfId="0" applyFont="1" applyBorder="1" applyAlignment="1">
      <alignment vertical="center" wrapText="1"/>
    </xf>
    <xf numFmtId="0" fontId="12" fillId="0" borderId="7" xfId="0" applyFont="1" applyBorder="1" applyAlignment="1">
      <alignment horizontal="center" vertical="center" wrapText="1"/>
    </xf>
    <xf numFmtId="49" fontId="1" fillId="8" borderId="7" xfId="0" applyNumberFormat="1" applyFont="1" applyFill="1" applyBorder="1" applyAlignment="1">
      <alignment horizontal="center" vertical="center"/>
    </xf>
    <xf numFmtId="0" fontId="1" fillId="8" borderId="14" xfId="0" applyFont="1" applyFill="1" applyBorder="1" applyAlignment="1">
      <alignment horizontal="center" vertical="center"/>
    </xf>
    <xf numFmtId="0" fontId="1" fillId="8" borderId="1" xfId="0" applyFont="1" applyFill="1" applyBorder="1" applyAlignment="1">
      <alignment vertical="center" wrapText="1"/>
    </xf>
    <xf numFmtId="0" fontId="1" fillId="8" borderId="7" xfId="0" applyFont="1" applyFill="1" applyBorder="1" applyAlignment="1">
      <alignment horizontal="center" vertical="center" wrapText="1"/>
    </xf>
    <xf numFmtId="0" fontId="1" fillId="8" borderId="2" xfId="0" applyFont="1" applyFill="1" applyBorder="1" applyAlignment="1">
      <alignment horizontal="center" vertical="center"/>
    </xf>
    <xf numFmtId="0" fontId="12" fillId="0" borderId="5" xfId="0" applyFont="1" applyBorder="1" applyAlignment="1">
      <alignment vertical="center"/>
    </xf>
    <xf numFmtId="0" fontId="12" fillId="8" borderId="14" xfId="0" applyFont="1" applyFill="1" applyBorder="1" applyAlignment="1">
      <alignment horizontal="center" vertical="center"/>
    </xf>
    <xf numFmtId="0" fontId="12" fillId="8" borderId="5" xfId="0" applyFont="1" applyFill="1" applyBorder="1" applyAlignment="1">
      <alignment vertical="center"/>
    </xf>
    <xf numFmtId="0" fontId="1" fillId="6" borderId="7" xfId="0" applyFont="1" applyFill="1" applyBorder="1" applyAlignment="1">
      <alignment horizontal="center" vertical="center" wrapText="1"/>
    </xf>
    <xf numFmtId="0" fontId="12" fillId="6" borderId="14" xfId="0" applyFont="1" applyFill="1" applyBorder="1" applyAlignment="1">
      <alignment horizontal="center" vertical="center"/>
    </xf>
    <xf numFmtId="0" fontId="12" fillId="8" borderId="5" xfId="0" applyFont="1" applyFill="1" applyBorder="1" applyAlignment="1">
      <alignment vertical="center" wrapText="1"/>
    </xf>
    <xf numFmtId="0" fontId="1" fillId="8" borderId="16" xfId="0" applyFont="1" applyFill="1" applyBorder="1" applyAlignment="1">
      <alignment horizontal="center" vertical="center"/>
    </xf>
    <xf numFmtId="0" fontId="18" fillId="6" borderId="5" xfId="0" applyFont="1" applyFill="1" applyBorder="1" applyAlignment="1">
      <alignment vertical="center"/>
    </xf>
    <xf numFmtId="0" fontId="1" fillId="0" borderId="17" xfId="0" applyFont="1" applyBorder="1" applyAlignment="1">
      <alignment horizontal="center" vertical="center"/>
    </xf>
    <xf numFmtId="0" fontId="18" fillId="6" borderId="18" xfId="0" applyFont="1" applyFill="1" applyBorder="1" applyAlignment="1">
      <alignment vertical="center"/>
    </xf>
    <xf numFmtId="0" fontId="1" fillId="7" borderId="1" xfId="0" applyFont="1" applyFill="1" applyBorder="1" applyAlignment="1">
      <alignment horizontal="center" vertical="center"/>
    </xf>
    <xf numFmtId="0" fontId="1" fillId="7" borderId="1" xfId="0" applyFont="1" applyFill="1" applyBorder="1" applyAlignment="1">
      <alignment vertical="center"/>
    </xf>
    <xf numFmtId="0" fontId="1" fillId="7" borderId="2" xfId="0" applyFont="1" applyFill="1" applyBorder="1" applyAlignment="1">
      <alignment vertical="center"/>
    </xf>
    <xf numFmtId="0" fontId="1" fillId="9" borderId="1" xfId="0" applyFont="1" applyFill="1" applyBorder="1" applyAlignment="1">
      <alignment horizontal="center" vertical="center"/>
    </xf>
    <xf numFmtId="0" fontId="1" fillId="9" borderId="1" xfId="0" applyFont="1" applyFill="1" applyBorder="1" applyAlignment="1">
      <alignment vertical="center"/>
    </xf>
    <xf numFmtId="0" fontId="24" fillId="9" borderId="2" xfId="0" applyFont="1" applyFill="1" applyBorder="1" applyAlignment="1">
      <alignment horizontal="right" vertical="center"/>
    </xf>
    <xf numFmtId="0" fontId="1" fillId="9" borderId="2" xfId="0" applyFont="1" applyFill="1" applyBorder="1" applyAlignment="1">
      <alignment horizontal="center" vertical="center"/>
    </xf>
    <xf numFmtId="0" fontId="1" fillId="9" borderId="1" xfId="0" applyFont="1" applyFill="1" applyBorder="1" applyAlignment="1">
      <alignment horizontal="center"/>
    </xf>
    <xf numFmtId="0" fontId="1" fillId="9" borderId="1" xfId="0" applyFont="1" applyFill="1" applyBorder="1"/>
    <xf numFmtId="0" fontId="12" fillId="0" borderId="2" xfId="0" applyFont="1" applyBorder="1" applyAlignment="1">
      <alignment horizontal="center"/>
    </xf>
    <xf numFmtId="0" fontId="18" fillId="0" borderId="19" xfId="0" applyFont="1" applyBorder="1" applyAlignment="1">
      <alignment horizontal="left" vertical="center"/>
    </xf>
    <xf numFmtId="0" fontId="12" fillId="0" borderId="5" xfId="0" applyFont="1" applyBorder="1" applyAlignment="1">
      <alignment horizontal="center" vertical="center" wrapText="1"/>
    </xf>
    <xf numFmtId="0" fontId="12" fillId="7" borderId="2" xfId="0" applyFont="1" applyFill="1" applyBorder="1" applyAlignment="1">
      <alignment horizontal="center"/>
    </xf>
    <xf numFmtId="0" fontId="18" fillId="0" borderId="5" xfId="0" applyFont="1" applyBorder="1" applyAlignment="1">
      <alignment horizontal="left" vertical="center"/>
    </xf>
    <xf numFmtId="0" fontId="12" fillId="0" borderId="20" xfId="0" applyFont="1" applyBorder="1" applyAlignment="1">
      <alignment horizontal="left" vertical="center" wrapText="1"/>
    </xf>
    <xf numFmtId="0" fontId="12" fillId="0" borderId="20" xfId="0" applyFont="1" applyBorder="1" applyAlignment="1">
      <alignment horizontal="center" vertical="center" wrapText="1"/>
    </xf>
    <xf numFmtId="0" fontId="12" fillId="8" borderId="2" xfId="0" applyFont="1" applyFill="1" applyBorder="1" applyAlignment="1">
      <alignment horizontal="center"/>
    </xf>
    <xf numFmtId="0" fontId="12" fillId="8" borderId="7" xfId="0" applyFont="1" applyFill="1" applyBorder="1" applyAlignment="1">
      <alignment vertical="center" wrapText="1"/>
    </xf>
    <xf numFmtId="0" fontId="1" fillId="8" borderId="2" xfId="0" applyFont="1" applyFill="1" applyBorder="1" applyAlignment="1">
      <alignment horizontal="center"/>
    </xf>
    <xf numFmtId="0" fontId="12" fillId="8" borderId="2" xfId="0" applyFont="1" applyFill="1" applyBorder="1"/>
    <xf numFmtId="0" fontId="12" fillId="0" borderId="21" xfId="0" applyFont="1" applyBorder="1" applyAlignment="1">
      <alignment horizontal="center" vertical="center" wrapText="1"/>
    </xf>
    <xf numFmtId="0" fontId="12" fillId="0" borderId="8" xfId="0" applyFont="1" applyBorder="1" applyAlignment="1">
      <alignment horizontal="center"/>
    </xf>
    <xf numFmtId="0" fontId="12" fillId="7" borderId="14" xfId="0" applyFont="1" applyFill="1" applyBorder="1" applyAlignment="1">
      <alignment horizontal="center"/>
    </xf>
    <xf numFmtId="0" fontId="12" fillId="8" borderId="1" xfId="0" applyFont="1" applyFill="1" applyBorder="1"/>
    <xf numFmtId="0" fontId="12" fillId="0" borderId="21" xfId="0" applyFont="1" applyBorder="1" applyAlignment="1">
      <alignment horizontal="left" vertical="center" wrapText="1"/>
    </xf>
    <xf numFmtId="0" fontId="12" fillId="8" borderId="14" xfId="0" applyFont="1" applyFill="1" applyBorder="1" applyAlignment="1">
      <alignment horizontal="center"/>
    </xf>
    <xf numFmtId="0" fontId="12" fillId="8" borderId="16" xfId="0" applyFont="1" applyFill="1" applyBorder="1"/>
    <xf numFmtId="0" fontId="18" fillId="0" borderId="10" xfId="0" applyFont="1" applyBorder="1" applyAlignment="1">
      <alignment horizontal="left" vertical="center"/>
    </xf>
    <xf numFmtId="0" fontId="12" fillId="0" borderId="21" xfId="0" applyFont="1" applyBorder="1" applyAlignment="1">
      <alignment horizontal="center" vertical="center"/>
    </xf>
    <xf numFmtId="0" fontId="18" fillId="0" borderId="0" xfId="0" applyFont="1" applyAlignment="1">
      <alignment horizontal="left" vertical="center"/>
    </xf>
    <xf numFmtId="0" fontId="12" fillId="7" borderId="1" xfId="0" applyFont="1" applyFill="1" applyBorder="1" applyAlignment="1">
      <alignment horizontal="center"/>
    </xf>
    <xf numFmtId="0" fontId="12" fillId="7" borderId="1" xfId="0" applyFont="1" applyFill="1" applyBorder="1"/>
    <xf numFmtId="0" fontId="12" fillId="7" borderId="2" xfId="0" applyFont="1" applyFill="1" applyBorder="1"/>
    <xf numFmtId="0" fontId="1" fillId="7" borderId="2" xfId="0" applyFont="1" applyFill="1" applyBorder="1" applyAlignment="1">
      <alignment horizontal="center"/>
    </xf>
    <xf numFmtId="0" fontId="19" fillId="9" borderId="2" xfId="0" applyFont="1" applyFill="1" applyBorder="1" applyAlignment="1">
      <alignment horizontal="right"/>
    </xf>
    <xf numFmtId="0" fontId="12" fillId="9" borderId="2" xfId="0" applyFont="1" applyFill="1" applyBorder="1" applyAlignment="1">
      <alignment horizontal="center"/>
    </xf>
    <xf numFmtId="0" fontId="1" fillId="9" borderId="2" xfId="0" applyFont="1" applyFill="1" applyBorder="1" applyAlignment="1">
      <alignment horizontal="center"/>
    </xf>
    <xf numFmtId="0" fontId="1" fillId="10" borderId="1" xfId="0" applyFont="1" applyFill="1" applyBorder="1"/>
    <xf numFmtId="0" fontId="1" fillId="10" borderId="1" xfId="0" applyFont="1" applyFill="1" applyBorder="1" applyAlignment="1">
      <alignment horizontal="center"/>
    </xf>
    <xf numFmtId="0" fontId="17" fillId="3" borderId="6" xfId="0" applyFont="1" applyFill="1" applyBorder="1" applyAlignment="1">
      <alignment horizontal="center" vertical="center" wrapText="1"/>
    </xf>
    <xf numFmtId="0" fontId="1" fillId="0" borderId="17" xfId="0" applyFont="1" applyBorder="1"/>
    <xf numFmtId="0" fontId="25" fillId="0" borderId="0" xfId="0" applyFont="1" applyAlignment="1">
      <alignment horizontal="center" vertical="center"/>
    </xf>
    <xf numFmtId="0" fontId="17" fillId="0" borderId="6" xfId="0" applyFont="1" applyBorder="1" applyAlignment="1">
      <alignment horizontal="center" vertical="center" wrapText="1"/>
    </xf>
    <xf numFmtId="0" fontId="17" fillId="0" borderId="6" xfId="0" applyFont="1" applyBorder="1" applyAlignment="1">
      <alignment horizontal="left" vertical="center" wrapText="1"/>
    </xf>
    <xf numFmtId="14" fontId="17" fillId="0" borderId="6" xfId="0" applyNumberFormat="1" applyFont="1" applyBorder="1" applyAlignment="1">
      <alignment horizontal="center" vertical="center" wrapText="1"/>
    </xf>
    <xf numFmtId="0" fontId="25" fillId="0" borderId="17" xfId="0" applyFont="1" applyBorder="1" applyAlignment="1">
      <alignment horizontal="center" vertical="center"/>
    </xf>
    <xf numFmtId="0" fontId="17" fillId="0" borderId="24" xfId="0" applyFont="1" applyBorder="1" applyAlignment="1">
      <alignment horizontal="center" vertical="center" wrapText="1"/>
    </xf>
    <xf numFmtId="0" fontId="17" fillId="0" borderId="24" xfId="0" applyFont="1" applyBorder="1" applyAlignment="1">
      <alignment horizontal="left" vertical="center" wrapText="1"/>
    </xf>
    <xf numFmtId="14" fontId="17" fillId="0" borderId="24" xfId="0" applyNumberFormat="1" applyFont="1" applyBorder="1" applyAlignment="1">
      <alignment horizontal="center" vertical="center" wrapText="1"/>
    </xf>
    <xf numFmtId="0" fontId="1" fillId="0" borderId="25" xfId="0" applyFont="1" applyBorder="1"/>
    <xf numFmtId="0" fontId="1" fillId="0" borderId="26" xfId="0" applyFont="1" applyBorder="1"/>
    <xf numFmtId="0" fontId="26" fillId="0" borderId="0" xfId="0" applyFont="1"/>
    <xf numFmtId="0" fontId="27" fillId="3" borderId="6" xfId="0" applyFont="1" applyFill="1" applyBorder="1" applyAlignment="1">
      <alignment horizontal="center" vertical="center" wrapText="1"/>
    </xf>
    <xf numFmtId="0" fontId="28" fillId="0" borderId="6" xfId="0" applyFont="1" applyBorder="1" applyAlignment="1">
      <alignment horizontal="center" vertical="top" wrapText="1"/>
    </xf>
    <xf numFmtId="0" fontId="28" fillId="0" borderId="6" xfId="0" applyFont="1" applyBorder="1" applyAlignment="1">
      <alignment vertical="top" wrapText="1"/>
    </xf>
    <xf numFmtId="0" fontId="28" fillId="0" borderId="6" xfId="0" applyFont="1" applyBorder="1" applyAlignment="1">
      <alignment horizontal="left" vertical="top" wrapText="1"/>
    </xf>
    <xf numFmtId="0" fontId="1" fillId="11" borderId="6" xfId="0" applyFont="1" applyFill="1" applyBorder="1"/>
    <xf numFmtId="0" fontId="1" fillId="0" borderId="6" xfId="0" applyFont="1" applyBorder="1" applyAlignment="1">
      <alignment vertical="top" wrapText="1"/>
    </xf>
    <xf numFmtId="0" fontId="29" fillId="0" borderId="6" xfId="0" applyFont="1" applyBorder="1" applyAlignment="1">
      <alignment vertical="top" wrapText="1"/>
    </xf>
    <xf numFmtId="0" fontId="1" fillId="0" borderId="6" xfId="0" applyFont="1" applyBorder="1" applyAlignment="1">
      <alignment vertical="center" wrapText="1"/>
    </xf>
    <xf numFmtId="0" fontId="1" fillId="0" borderId="6" xfId="0" applyFont="1" applyBorder="1"/>
    <xf numFmtId="0" fontId="30" fillId="0" borderId="6" xfId="0" applyFont="1" applyBorder="1"/>
    <xf numFmtId="0" fontId="1" fillId="0" borderId="6" xfId="0" applyFont="1" applyBorder="1" applyAlignment="1">
      <alignment wrapText="1"/>
    </xf>
    <xf numFmtId="0" fontId="1" fillId="0" borderId="6" xfId="0" applyFont="1" applyBorder="1" applyAlignment="1">
      <alignment vertical="center"/>
    </xf>
    <xf numFmtId="0" fontId="34" fillId="0" borderId="0" xfId="0" applyFont="1" applyAlignment="1">
      <alignment horizontal="left" vertical="center"/>
    </xf>
    <xf numFmtId="0" fontId="34" fillId="0" borderId="27" xfId="0" applyFont="1" applyBorder="1" applyAlignment="1">
      <alignment horizontal="left" vertical="center"/>
    </xf>
    <xf numFmtId="0" fontId="34" fillId="0" borderId="27" xfId="0" applyFont="1" applyBorder="1" applyAlignment="1">
      <alignment horizontal="left" vertical="center" wrapText="1"/>
    </xf>
    <xf numFmtId="0" fontId="8" fillId="0" borderId="27" xfId="0" applyFont="1" applyBorder="1" applyAlignment="1">
      <alignment horizontal="center" vertical="center" wrapText="1"/>
    </xf>
    <xf numFmtId="0" fontId="8" fillId="0" borderId="27" xfId="0" applyFont="1" applyBorder="1" applyAlignment="1">
      <alignment horizontal="center" vertical="center"/>
    </xf>
    <xf numFmtId="0" fontId="7" fillId="0" borderId="27" xfId="0" applyFont="1" applyBorder="1" applyAlignment="1">
      <alignment horizontal="center" vertical="center"/>
    </xf>
    <xf numFmtId="0" fontId="9" fillId="0" borderId="27" xfId="0" applyFont="1" applyBorder="1" applyAlignment="1">
      <alignment horizontal="center" vertical="center"/>
    </xf>
    <xf numFmtId="0" fontId="0" fillId="0" borderId="27" xfId="0" applyBorder="1"/>
    <xf numFmtId="0" fontId="11" fillId="0" borderId="27" xfId="0" applyFont="1" applyBorder="1" applyAlignment="1">
      <alignment horizontal="center" vertical="center"/>
    </xf>
    <xf numFmtId="0" fontId="10" fillId="0" borderId="27" xfId="0" applyFont="1" applyBorder="1" applyAlignment="1">
      <alignment horizontal="center" vertical="center"/>
    </xf>
    <xf numFmtId="0" fontId="34" fillId="0" borderId="27" xfId="0" applyFont="1" applyBorder="1" applyAlignment="1">
      <alignment horizontal="center" vertical="center"/>
    </xf>
    <xf numFmtId="0" fontId="34" fillId="0" borderId="27" xfId="0" applyFont="1" applyBorder="1" applyAlignment="1">
      <alignment horizontal="center" vertical="center" wrapText="1"/>
    </xf>
    <xf numFmtId="0" fontId="8" fillId="0" borderId="27" xfId="0" applyFont="1" applyBorder="1" applyAlignment="1">
      <alignment horizontal="left" vertical="center" wrapText="1"/>
    </xf>
    <xf numFmtId="0" fontId="8" fillId="0" borderId="27" xfId="0" applyFont="1" applyBorder="1" applyAlignment="1">
      <alignment horizontal="left" vertical="center"/>
    </xf>
    <xf numFmtId="0" fontId="35" fillId="0" borderId="2" xfId="0" applyFont="1" applyBorder="1" applyAlignment="1">
      <alignment horizontal="center" vertical="center"/>
    </xf>
    <xf numFmtId="0" fontId="35" fillId="0" borderId="5" xfId="0" applyFont="1" applyBorder="1" applyAlignment="1">
      <alignment horizontal="left" vertical="center"/>
    </xf>
    <xf numFmtId="0" fontId="35" fillId="0" borderId="5" xfId="0" applyFont="1" applyBorder="1" applyAlignment="1">
      <alignment horizontal="left" vertical="center" wrapText="1"/>
    </xf>
    <xf numFmtId="49" fontId="35" fillId="0" borderId="7" xfId="0" applyNumberFormat="1" applyFont="1" applyBorder="1" applyAlignment="1">
      <alignment horizontal="center" vertical="center"/>
    </xf>
    <xf numFmtId="0" fontId="35" fillId="6" borderId="14" xfId="0" applyFont="1" applyFill="1" applyBorder="1" applyAlignment="1">
      <alignment horizontal="center" vertical="center"/>
    </xf>
    <xf numFmtId="0" fontId="35" fillId="0" borderId="15" xfId="0" applyFont="1" applyBorder="1" applyAlignment="1">
      <alignment horizontal="center" vertical="center"/>
    </xf>
    <xf numFmtId="49" fontId="33" fillId="0" borderId="7" xfId="0" applyNumberFormat="1" applyFont="1" applyBorder="1" applyAlignment="1">
      <alignment horizontal="center" vertical="center"/>
    </xf>
    <xf numFmtId="0" fontId="35" fillId="0" borderId="5" xfId="0" applyFont="1" applyBorder="1" applyAlignment="1">
      <alignment vertical="center"/>
    </xf>
    <xf numFmtId="0" fontId="12" fillId="0" borderId="29" xfId="0" applyFont="1" applyBorder="1" applyAlignment="1">
      <alignment horizontal="center" vertical="center" wrapText="1"/>
    </xf>
    <xf numFmtId="0" fontId="35" fillId="0" borderId="29" xfId="0" applyFont="1" applyBorder="1" applyAlignment="1">
      <alignment horizontal="center" vertical="center" wrapText="1"/>
    </xf>
    <xf numFmtId="0" fontId="33" fillId="0" borderId="2" xfId="0" applyFont="1" applyBorder="1" applyAlignment="1">
      <alignment horizontal="center" vertical="center"/>
    </xf>
    <xf numFmtId="0" fontId="35" fillId="6" borderId="7" xfId="0" applyFont="1" applyFill="1" applyBorder="1" applyAlignment="1">
      <alignment horizontal="center" vertical="center" wrapText="1"/>
    </xf>
    <xf numFmtId="0" fontId="35" fillId="0" borderId="7" xfId="0" applyFont="1" applyBorder="1" applyAlignment="1">
      <alignment horizontal="center" vertical="center" wrapText="1"/>
    </xf>
    <xf numFmtId="0" fontId="35" fillId="0" borderId="7" xfId="0" applyFont="1" applyBorder="1" applyAlignment="1">
      <alignment horizontal="center" vertical="center"/>
    </xf>
    <xf numFmtId="0" fontId="35" fillId="6" borderId="21" xfId="0" applyFont="1" applyFill="1" applyBorder="1" applyAlignment="1">
      <alignment horizontal="center" vertical="center" wrapText="1"/>
    </xf>
    <xf numFmtId="0" fontId="35" fillId="0" borderId="30" xfId="0" applyFont="1" applyBorder="1" applyAlignment="1">
      <alignment horizontal="center" vertical="center"/>
    </xf>
    <xf numFmtId="0" fontId="35" fillId="0" borderId="5" xfId="0" applyFont="1" applyBorder="1" applyAlignment="1">
      <alignment horizontal="center" vertical="center"/>
    </xf>
    <xf numFmtId="0" fontId="35" fillId="0" borderId="5" xfId="0" applyFont="1" applyBorder="1" applyAlignment="1">
      <alignment horizontal="center" vertical="center" wrapText="1"/>
    </xf>
    <xf numFmtId="0" fontId="12" fillId="8" borderId="21" xfId="0" applyFont="1" applyFill="1" applyBorder="1" applyAlignment="1">
      <alignment vertical="center" wrapText="1"/>
    </xf>
    <xf numFmtId="0" fontId="12" fillId="8" borderId="28" xfId="0" applyFont="1" applyFill="1" applyBorder="1" applyAlignment="1">
      <alignment horizontal="left" vertical="center"/>
    </xf>
    <xf numFmtId="0" fontId="35" fillId="0" borderId="31" xfId="0" applyFont="1" applyBorder="1" applyAlignment="1">
      <alignment horizontal="left" vertical="center"/>
    </xf>
    <xf numFmtId="0" fontId="35" fillId="0" borderId="31" xfId="0" applyFont="1" applyBorder="1" applyAlignment="1">
      <alignment horizontal="left" vertical="center" wrapText="1"/>
    </xf>
    <xf numFmtId="0" fontId="35" fillId="0" borderId="15" xfId="0" applyFont="1" applyBorder="1" applyAlignment="1">
      <alignment horizontal="center"/>
    </xf>
    <xf numFmtId="0" fontId="35" fillId="0" borderId="2" xfId="0" applyFont="1" applyBorder="1" applyAlignment="1">
      <alignment horizontal="center"/>
    </xf>
    <xf numFmtId="0" fontId="35" fillId="0" borderId="21" xfId="0" applyFont="1" applyBorder="1" applyAlignment="1">
      <alignment horizontal="left" vertical="center" wrapText="1"/>
    </xf>
    <xf numFmtId="0" fontId="35" fillId="0" borderId="21" xfId="0" applyFont="1" applyBorder="1" applyAlignment="1">
      <alignment horizontal="center" vertical="center" wrapText="1"/>
    </xf>
    <xf numFmtId="0" fontId="35" fillId="0" borderId="20" xfId="0" applyFont="1" applyBorder="1" applyAlignment="1">
      <alignment horizontal="center" vertical="center" wrapText="1"/>
    </xf>
    <xf numFmtId="0" fontId="37" fillId="3" borderId="4" xfId="0" applyFont="1" applyFill="1" applyBorder="1" applyAlignment="1">
      <alignment horizontal="center" vertical="center"/>
    </xf>
    <xf numFmtId="0" fontId="37" fillId="5" borderId="4" xfId="0" applyFont="1" applyFill="1" applyBorder="1" applyAlignment="1">
      <alignment horizontal="center" vertical="center" wrapText="1"/>
    </xf>
    <xf numFmtId="0" fontId="12" fillId="0" borderId="0" xfId="0" applyFont="1" applyAlignment="1">
      <alignment wrapText="1"/>
    </xf>
    <xf numFmtId="0" fontId="0" fillId="0" borderId="0" xfId="0"/>
    <xf numFmtId="0" fontId="6" fillId="0" borderId="3" xfId="0" applyFont="1" applyBorder="1"/>
    <xf numFmtId="0" fontId="12" fillId="0" borderId="0" xfId="0" applyFont="1" applyAlignment="1">
      <alignment horizontal="center" wrapText="1"/>
    </xf>
    <xf numFmtId="0" fontId="14" fillId="0" borderId="0" xfId="0" applyFont="1" applyAlignment="1">
      <alignment wrapText="1"/>
    </xf>
    <xf numFmtId="0" fontId="13" fillId="0" borderId="0" xfId="0" applyFont="1" applyAlignment="1">
      <alignment wrapText="1"/>
    </xf>
    <xf numFmtId="0" fontId="15" fillId="0" borderId="0" xfId="0" applyFont="1" applyAlignment="1">
      <alignment horizontal="left" vertical="center"/>
    </xf>
    <xf numFmtId="0" fontId="14" fillId="0" borderId="0" xfId="0" applyFont="1" applyAlignment="1">
      <alignment horizontal="center" wrapText="1"/>
    </xf>
    <xf numFmtId="0" fontId="12" fillId="0" borderId="0" xfId="0" applyFont="1" applyAlignment="1">
      <alignment horizontal="left" wrapText="1"/>
    </xf>
    <xf numFmtId="0" fontId="1" fillId="0" borderId="0" xfId="0" applyFont="1" applyAlignment="1">
      <alignment horizontal="center" vertical="center"/>
    </xf>
    <xf numFmtId="0" fontId="1" fillId="0" borderId="0" xfId="0" applyFont="1"/>
    <xf numFmtId="0" fontId="1" fillId="0" borderId="0" xfId="0" applyFont="1" applyAlignment="1">
      <alignment wrapText="1"/>
    </xf>
    <xf numFmtId="0" fontId="1" fillId="0" borderId="0" xfId="0" applyFont="1" applyAlignment="1">
      <alignment horizontal="center" vertical="center" wrapText="1"/>
    </xf>
    <xf numFmtId="0" fontId="23" fillId="0" borderId="0" xfId="0" applyFont="1" applyAlignment="1">
      <alignment wrapText="1"/>
    </xf>
    <xf numFmtId="0" fontId="22" fillId="0" borderId="0" xfId="0" applyFont="1" applyAlignment="1">
      <alignment wrapText="1"/>
    </xf>
    <xf numFmtId="0" fontId="5" fillId="0" borderId="0" xfId="0" applyFont="1" applyAlignment="1">
      <alignment horizontal="left" vertical="center"/>
    </xf>
    <xf numFmtId="0" fontId="23" fillId="0" borderId="0" xfId="0" applyFont="1" applyAlignment="1">
      <alignment horizontal="center" wrapText="1"/>
    </xf>
    <xf numFmtId="0" fontId="1" fillId="0" borderId="0" xfId="0" applyFont="1" applyAlignment="1">
      <alignment horizontal="left" wrapText="1"/>
    </xf>
    <xf numFmtId="0" fontId="1" fillId="0" borderId="0" xfId="0" applyFont="1" applyAlignment="1">
      <alignment horizontal="center" wrapText="1"/>
    </xf>
    <xf numFmtId="0" fontId="1" fillId="10" borderId="22" xfId="0" applyFont="1" applyFill="1" applyBorder="1" applyAlignment="1">
      <alignment horizontal="center" vertical="center" wrapText="1"/>
    </xf>
    <xf numFmtId="0" fontId="6" fillId="0" borderId="23" xfId="0" applyFont="1" applyBorder="1"/>
    <xf numFmtId="0" fontId="1" fillId="10" borderId="22" xfId="0" applyFont="1" applyFill="1" applyBorder="1" applyAlignment="1">
      <alignment horizontal="center" wrapText="1"/>
    </xf>
    <xf numFmtId="0" fontId="1" fillId="0" borderId="0" xfId="0" applyFont="1" applyAlignment="1">
      <alignment vertical="center" wrapText="1"/>
    </xf>
    <xf numFmtId="0" fontId="25" fillId="0" borderId="0" xfId="0" applyFont="1" applyAlignment="1">
      <alignment horizontal="center" wrapText="1"/>
    </xf>
  </cellXfs>
  <cellStyles count="1">
    <cellStyle name="Normal" xfId="0" builtinId="0"/>
  </cellStyles>
  <dxfs count="7">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lang="en-US" sz="1400" b="1" i="0">
                <a:solidFill>
                  <a:srgbClr val="757575"/>
                </a:solidFill>
                <a:latin typeface="+mn-lt"/>
              </a:rPr>
              <a:t>Hours available per Sprint 1</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ECB-4A10-A6FC-5EDEB43479C0}"/>
              </c:ext>
            </c:extLst>
          </c:dPt>
          <c:dPt>
            <c:idx val="1"/>
            <c:bubble3D val="0"/>
            <c:spPr>
              <a:solidFill>
                <a:schemeClr val="accent2"/>
              </a:solidFill>
            </c:spPr>
            <c:extLst>
              <c:ext xmlns:c16="http://schemas.microsoft.com/office/drawing/2014/chart" uri="{C3380CC4-5D6E-409C-BE32-E72D297353CC}">
                <c16:uniqueId val="{00000003-EECB-4A10-A6FC-5EDEB43479C0}"/>
              </c:ext>
            </c:extLst>
          </c:dPt>
          <c:dPt>
            <c:idx val="2"/>
            <c:bubble3D val="0"/>
            <c:spPr>
              <a:solidFill>
                <a:schemeClr val="accent3"/>
              </a:solidFill>
            </c:spPr>
            <c:extLst>
              <c:ext xmlns:c16="http://schemas.microsoft.com/office/drawing/2014/chart" uri="{C3380CC4-5D6E-409C-BE32-E72D297353CC}">
                <c16:uniqueId val="{00000005-EECB-4A10-A6FC-5EDEB43479C0}"/>
              </c:ext>
            </c:extLst>
          </c:dPt>
          <c:dPt>
            <c:idx val="3"/>
            <c:bubble3D val="0"/>
            <c:spPr>
              <a:solidFill>
                <a:schemeClr val="accent4"/>
              </a:solidFill>
            </c:spPr>
            <c:extLst>
              <c:ext xmlns:c16="http://schemas.microsoft.com/office/drawing/2014/chart" uri="{C3380CC4-5D6E-409C-BE32-E72D297353CC}">
                <c16:uniqueId val="{00000007-EECB-4A10-A6FC-5EDEB43479C0}"/>
              </c:ext>
            </c:extLst>
          </c:dPt>
          <c:dPt>
            <c:idx val="4"/>
            <c:bubble3D val="0"/>
            <c:spPr>
              <a:solidFill>
                <a:schemeClr val="accent5"/>
              </a:solidFill>
            </c:spPr>
            <c:extLst>
              <c:ext xmlns:c16="http://schemas.microsoft.com/office/drawing/2014/chart" uri="{C3380CC4-5D6E-409C-BE32-E72D297353CC}">
                <c16:uniqueId val="{00000009-EECB-4A10-A6FC-5EDEB43479C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val>
            <c:numRef>
              <c:f>'Sprint 1 Backlog'!$AG$122:$AG$126</c:f>
              <c:numCache>
                <c:formatCode>General</c:formatCode>
                <c:ptCount val="5"/>
                <c:pt idx="0">
                  <c:v>87</c:v>
                </c:pt>
                <c:pt idx="1">
                  <c:v>128</c:v>
                </c:pt>
                <c:pt idx="2">
                  <c:v>47</c:v>
                </c:pt>
                <c:pt idx="3">
                  <c:v>45</c:v>
                </c:pt>
                <c:pt idx="4">
                  <c:v>62</c:v>
                </c:pt>
              </c:numCache>
            </c:numRef>
          </c:val>
          <c:extLst>
            <c:ext xmlns:c16="http://schemas.microsoft.com/office/drawing/2014/chart" uri="{C3380CC4-5D6E-409C-BE32-E72D297353CC}">
              <c16:uniqueId val="{0000000A-EECB-4A10-A6FC-5EDEB43479C0}"/>
            </c:ext>
          </c:extLst>
        </c:ser>
        <c:dLbls>
          <c:showLegendKey val="0"/>
          <c:showVal val="0"/>
          <c:showCatName val="0"/>
          <c:showSerName val="0"/>
          <c:showPercent val="0"/>
          <c:showBubbleSize val="0"/>
          <c:showLeaderLines val="1"/>
        </c:dLbls>
        <c:firstSliceAng val="0"/>
      </c:pieChart>
    </c:plotArea>
    <c:legend>
      <c:legendPos val="t"/>
      <c:layout>
        <c:manualLayout>
          <c:xMode val="edge"/>
          <c:yMode val="edge"/>
          <c:x val="0.22196361818409066"/>
          <c:y val="0.11470956210902591"/>
          <c:w val="0.52432673188578716"/>
          <c:h val="4.2449037033909627E-2"/>
        </c:manualLayout>
      </c:layout>
      <c:overlay val="0"/>
      <c:txPr>
        <a:bodyPr/>
        <a:lstStyle/>
        <a:p>
          <a:pPr lvl="0" rt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chemeClr val="dk1"/>
                </a:solidFill>
                <a:latin typeface="Calibri Light"/>
              </a:defRPr>
            </a:pPr>
            <a:r>
              <a:rPr lang="en-US" sz="1200" b="1" i="0">
                <a:solidFill>
                  <a:schemeClr val="dk1"/>
                </a:solidFill>
                <a:latin typeface="Calibri Light"/>
              </a:rPr>
              <a:t>Burn Down Chart</a:t>
            </a:r>
          </a:p>
        </c:rich>
      </c:tx>
      <c:overlay val="0"/>
    </c:title>
    <c:autoTitleDeleted val="0"/>
    <c:plotArea>
      <c:layout>
        <c:manualLayout>
          <c:xMode val="edge"/>
          <c:yMode val="edge"/>
          <c:x val="7.0646061187341777E-2"/>
          <c:y val="0.12941176470588234"/>
          <c:w val="0.90839781569543487"/>
          <c:h val="0.74291948800517582"/>
        </c:manualLayout>
      </c:layout>
      <c:lineChart>
        <c:grouping val="standard"/>
        <c:varyColors val="1"/>
        <c:ser>
          <c:idx val="0"/>
          <c:order val="0"/>
          <c:tx>
            <c:v>Estimate</c:v>
          </c:tx>
          <c:spPr>
            <a:ln w="19050" cmpd="sng">
              <a:solidFill>
                <a:schemeClr val="accent1"/>
              </a:solidFill>
            </a:ln>
          </c:spPr>
          <c:marker>
            <c:symbol val="none"/>
          </c:marker>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'Sprint 1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1 Backlog'!$K$118:$AG$118</c:f>
              <c:numCache>
                <c:formatCode>0</c:formatCode>
                <c:ptCount val="23"/>
                <c:pt idx="0" formatCode="General">
                  <c:v>316</c:v>
                </c:pt>
                <c:pt idx="1">
                  <c:v>399.66666666666669</c:v>
                </c:pt>
                <c:pt idx="2">
                  <c:v>386.33333333333337</c:v>
                </c:pt>
                <c:pt idx="3">
                  <c:v>373.00000000000006</c:v>
                </c:pt>
                <c:pt idx="4">
                  <c:v>359.66666666666674</c:v>
                </c:pt>
                <c:pt idx="5">
                  <c:v>346.33333333333343</c:v>
                </c:pt>
                <c:pt idx="6">
                  <c:v>333.00000000000011</c:v>
                </c:pt>
                <c:pt idx="7">
                  <c:v>319.6666666666668</c:v>
                </c:pt>
                <c:pt idx="8">
                  <c:v>306.33333333333348</c:v>
                </c:pt>
                <c:pt idx="9">
                  <c:v>293.00000000000017</c:v>
                </c:pt>
                <c:pt idx="10">
                  <c:v>279.66666666666686</c:v>
                </c:pt>
                <c:pt idx="11">
                  <c:v>266.33333333333354</c:v>
                </c:pt>
                <c:pt idx="12">
                  <c:v>253.0000000000002</c:v>
                </c:pt>
                <c:pt idx="13">
                  <c:v>239.66666666666686</c:v>
                </c:pt>
                <c:pt idx="14">
                  <c:v>226.33333333333351</c:v>
                </c:pt>
                <c:pt idx="15">
                  <c:v>213.00000000000017</c:v>
                </c:pt>
                <c:pt idx="16">
                  <c:v>199.66666666666683</c:v>
                </c:pt>
                <c:pt idx="17">
                  <c:v>186.33333333333348</c:v>
                </c:pt>
                <c:pt idx="18">
                  <c:v>173.00000000000014</c:v>
                </c:pt>
                <c:pt idx="19">
                  <c:v>159.6666666666668</c:v>
                </c:pt>
                <c:pt idx="20">
                  <c:v>146.33333333333346</c:v>
                </c:pt>
                <c:pt idx="21">
                  <c:v>133.00000000000011</c:v>
                </c:pt>
                <c:pt idx="22">
                  <c:v>0</c:v>
                </c:pt>
              </c:numCache>
            </c:numRef>
          </c:val>
          <c:smooth val="0"/>
          <c:extLst>
            <c:ext xmlns:c16="http://schemas.microsoft.com/office/drawing/2014/chart" uri="{C3380CC4-5D6E-409C-BE32-E72D297353CC}">
              <c16:uniqueId val="{00000000-C0BC-43A7-95F8-879B58536D8E}"/>
            </c:ext>
          </c:extLst>
        </c:ser>
        <c:ser>
          <c:idx val="1"/>
          <c:order val="1"/>
          <c:tx>
            <c:v>Actual</c:v>
          </c:tx>
          <c:spPr>
            <a:ln cmpd="sng">
              <a:solidFill>
                <a:srgbClr val="ED7D31"/>
              </a:solidFill>
            </a:ln>
          </c:spPr>
          <c:marker>
            <c:symbol val="none"/>
          </c:marker>
          <c:cat>
            <c:strRef>
              <c:f>'Sprint 1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1 Backlog'!$K$119:$AG$119</c:f>
              <c:numCache>
                <c:formatCode>0</c:formatCode>
                <c:ptCount val="23"/>
                <c:pt idx="0" formatCode="General">
                  <c:v>316</c:v>
                </c:pt>
                <c:pt idx="1">
                  <c:v>311</c:v>
                </c:pt>
                <c:pt idx="2">
                  <c:v>300</c:v>
                </c:pt>
                <c:pt idx="3">
                  <c:v>286</c:v>
                </c:pt>
                <c:pt idx="4">
                  <c:v>275</c:v>
                </c:pt>
                <c:pt idx="5">
                  <c:v>263</c:v>
                </c:pt>
                <c:pt idx="6">
                  <c:v>255</c:v>
                </c:pt>
                <c:pt idx="7">
                  <c:v>232</c:v>
                </c:pt>
                <c:pt idx="8">
                  <c:v>181</c:v>
                </c:pt>
                <c:pt idx="9">
                  <c:v>140</c:v>
                </c:pt>
                <c:pt idx="10">
                  <c:v>104</c:v>
                </c:pt>
                <c:pt idx="11">
                  <c:v>77</c:v>
                </c:pt>
                <c:pt idx="12">
                  <c:v>59</c:v>
                </c:pt>
                <c:pt idx="13">
                  <c:v>41</c:v>
                </c:pt>
                <c:pt idx="14">
                  <c:v>23</c:v>
                </c:pt>
                <c:pt idx="15">
                  <c:v>14</c:v>
                </c:pt>
                <c:pt idx="16">
                  <c:v>9</c:v>
                </c:pt>
                <c:pt idx="17">
                  <c:v>-14</c:v>
                </c:pt>
                <c:pt idx="18">
                  <c:v>-37</c:v>
                </c:pt>
                <c:pt idx="19">
                  <c:v>-60</c:v>
                </c:pt>
                <c:pt idx="20">
                  <c:v>-64</c:v>
                </c:pt>
                <c:pt idx="21">
                  <c:v>-68</c:v>
                </c:pt>
                <c:pt idx="22">
                  <c:v>0</c:v>
                </c:pt>
              </c:numCache>
            </c:numRef>
          </c:val>
          <c:smooth val="0"/>
          <c:extLst>
            <c:ext xmlns:c16="http://schemas.microsoft.com/office/drawing/2014/chart" uri="{C3380CC4-5D6E-409C-BE32-E72D297353CC}">
              <c16:uniqueId val="{00000001-C0BC-43A7-95F8-879B58536D8E}"/>
            </c:ext>
          </c:extLst>
        </c:ser>
        <c:dLbls>
          <c:showLegendKey val="0"/>
          <c:showVal val="0"/>
          <c:showCatName val="0"/>
          <c:showSerName val="0"/>
          <c:showPercent val="0"/>
          <c:showBubbleSize val="0"/>
        </c:dLbls>
        <c:smooth val="0"/>
        <c:axId val="2079377316"/>
        <c:axId val="612234794"/>
      </c:lineChart>
      <c:catAx>
        <c:axId val="207937731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rot="-5400000"/>
          <a:lstStyle/>
          <a:p>
            <a:pPr lvl="0">
              <a:defRPr sz="900" b="0" i="0">
                <a:solidFill>
                  <a:schemeClr val="dk1"/>
                </a:solidFill>
                <a:latin typeface="+mn-lt"/>
              </a:defRPr>
            </a:pPr>
            <a:endParaRPr lang="en-US"/>
          </a:p>
        </c:txPr>
        <c:crossAx val="612234794"/>
        <c:crosses val="autoZero"/>
        <c:auto val="1"/>
        <c:lblAlgn val="ctr"/>
        <c:lblOffset val="100"/>
        <c:noMultiLvlLbl val="1"/>
      </c:catAx>
      <c:valAx>
        <c:axId val="612234794"/>
        <c:scaling>
          <c:orientation val="minMax"/>
          <c:max val="450"/>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2079377316"/>
        <c:crosses val="autoZero"/>
        <c:crossBetween val="between"/>
      </c:valAx>
      <c:spPr>
        <a:solidFill>
          <a:schemeClr val="lt1"/>
        </a:solidFill>
      </c:spPr>
    </c:plotArea>
    <c:legend>
      <c:legendPos val="tr"/>
      <c:overlay val="1"/>
      <c:txPr>
        <a:bodyPr/>
        <a:lstStyle/>
        <a:p>
          <a:pPr lvl="0">
            <a:defRPr b="0">
              <a:solidFill>
                <a:srgbClr val="1A1A1A"/>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lang="en-US" sz="1400" b="1" i="0">
                <a:solidFill>
                  <a:srgbClr val="757575"/>
                </a:solidFill>
                <a:latin typeface="+mn-lt"/>
              </a:rPr>
              <a:t>Hours available per Sprint 2</a:t>
            </a:r>
          </a:p>
        </c:rich>
      </c:tx>
      <c:layout>
        <c:manualLayout>
          <c:xMode val="edge"/>
          <c:yMode val="edge"/>
          <c:x val="0.20320556135089765"/>
          <c:y val="2.1406725251423675E-2"/>
        </c:manualLayout>
      </c:layout>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D858-477A-8149-FB17B2F4E379}"/>
              </c:ext>
            </c:extLst>
          </c:dPt>
          <c:dPt>
            <c:idx val="1"/>
            <c:bubble3D val="0"/>
            <c:spPr>
              <a:solidFill>
                <a:schemeClr val="accent2"/>
              </a:solidFill>
            </c:spPr>
            <c:extLst>
              <c:ext xmlns:c16="http://schemas.microsoft.com/office/drawing/2014/chart" uri="{C3380CC4-5D6E-409C-BE32-E72D297353CC}">
                <c16:uniqueId val="{00000003-D858-477A-8149-FB17B2F4E379}"/>
              </c:ext>
            </c:extLst>
          </c:dPt>
          <c:dPt>
            <c:idx val="2"/>
            <c:bubble3D val="0"/>
            <c:spPr>
              <a:solidFill>
                <a:schemeClr val="accent3"/>
              </a:solidFill>
            </c:spPr>
            <c:extLst>
              <c:ext xmlns:c16="http://schemas.microsoft.com/office/drawing/2014/chart" uri="{C3380CC4-5D6E-409C-BE32-E72D297353CC}">
                <c16:uniqueId val="{00000005-D858-477A-8149-FB17B2F4E379}"/>
              </c:ext>
            </c:extLst>
          </c:dPt>
          <c:dPt>
            <c:idx val="3"/>
            <c:bubble3D val="0"/>
            <c:spPr>
              <a:solidFill>
                <a:schemeClr val="accent4"/>
              </a:solidFill>
            </c:spPr>
            <c:extLst>
              <c:ext xmlns:c16="http://schemas.microsoft.com/office/drawing/2014/chart" uri="{C3380CC4-5D6E-409C-BE32-E72D297353CC}">
                <c16:uniqueId val="{00000007-D858-477A-8149-FB17B2F4E379}"/>
              </c:ext>
            </c:extLst>
          </c:dPt>
          <c:dPt>
            <c:idx val="4"/>
            <c:bubble3D val="0"/>
            <c:spPr>
              <a:solidFill>
                <a:schemeClr val="accent5"/>
              </a:solidFill>
            </c:spPr>
            <c:extLst>
              <c:ext xmlns:c16="http://schemas.microsoft.com/office/drawing/2014/chart" uri="{C3380CC4-5D6E-409C-BE32-E72D297353CC}">
                <c16:uniqueId val="{00000009-D858-477A-8149-FB17B2F4E379}"/>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val>
            <c:numRef>
              <c:f>'Sprint 2 Backlog'!$AG$119:$AG$123</c:f>
              <c:numCache>
                <c:formatCode>General</c:formatCode>
                <c:ptCount val="5"/>
                <c:pt idx="0">
                  <c:v>1</c:v>
                </c:pt>
                <c:pt idx="1">
                  <c:v>127</c:v>
                </c:pt>
                <c:pt idx="2">
                  <c:v>96</c:v>
                </c:pt>
                <c:pt idx="3">
                  <c:v>41</c:v>
                </c:pt>
                <c:pt idx="4">
                  <c:v>78</c:v>
                </c:pt>
              </c:numCache>
            </c:numRef>
          </c:val>
          <c:extLst>
            <c:ext xmlns:c16="http://schemas.microsoft.com/office/drawing/2014/chart" uri="{C3380CC4-5D6E-409C-BE32-E72D297353CC}">
              <c16:uniqueId val="{0000000A-D858-477A-8149-FB17B2F4E379}"/>
            </c:ext>
          </c:extLst>
        </c:ser>
        <c:dLbls>
          <c:showLegendKey val="0"/>
          <c:showVal val="0"/>
          <c:showCatName val="0"/>
          <c:showSerName val="0"/>
          <c:showPercent val="0"/>
          <c:showBubbleSize val="0"/>
          <c:showLeaderLines val="1"/>
        </c:dLbls>
        <c:firstSliceAng val="0"/>
      </c:pieChart>
    </c:plotArea>
    <c:legend>
      <c:legendPos val="t"/>
      <c:overlay val="0"/>
      <c:txPr>
        <a:bodyPr/>
        <a:lstStyle/>
        <a:p>
          <a:pPr lvl="0" rt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chemeClr val="dk1"/>
                </a:solidFill>
                <a:latin typeface="Calibri Light"/>
              </a:defRPr>
            </a:pPr>
            <a:r>
              <a:rPr lang="en-US" sz="1200" b="1" i="0">
                <a:solidFill>
                  <a:schemeClr val="dk1"/>
                </a:solidFill>
                <a:latin typeface="Calibri Light"/>
              </a:rPr>
              <a:t>Burn Down Chart</a:t>
            </a:r>
          </a:p>
        </c:rich>
      </c:tx>
      <c:overlay val="0"/>
    </c:title>
    <c:autoTitleDeleted val="0"/>
    <c:plotArea>
      <c:layout>
        <c:manualLayout>
          <c:xMode val="edge"/>
          <c:yMode val="edge"/>
          <c:x val="7.0646061187341777E-2"/>
          <c:y val="0.12941176470588234"/>
          <c:w val="0.90839781569543487"/>
          <c:h val="0.74291948800517582"/>
        </c:manualLayout>
      </c:layout>
      <c:lineChart>
        <c:grouping val="standard"/>
        <c:varyColors val="1"/>
        <c:ser>
          <c:idx val="0"/>
          <c:order val="0"/>
          <c:tx>
            <c:v>Estimate</c:v>
          </c:tx>
          <c:spPr>
            <a:ln w="19050" cmpd="sng">
              <a:solidFill>
                <a:schemeClr val="accent1"/>
              </a:solidFill>
            </a:ln>
          </c:spPr>
          <c:marker>
            <c:symbol val="none"/>
          </c:marker>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'Sprint 2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2 Backlog'!$K$116:$AG$116</c:f>
              <c:numCache>
                <c:formatCode>0</c:formatCode>
                <c:ptCount val="23"/>
                <c:pt idx="0" formatCode="General">
                  <c:v>411</c:v>
                </c:pt>
                <c:pt idx="1">
                  <c:v>389.42857142857144</c:v>
                </c:pt>
                <c:pt idx="2">
                  <c:v>371.85714285714289</c:v>
                </c:pt>
                <c:pt idx="3">
                  <c:v>354.28571428571433</c:v>
                </c:pt>
                <c:pt idx="4">
                  <c:v>336.71428571428578</c:v>
                </c:pt>
                <c:pt idx="5">
                  <c:v>319.14285714285722</c:v>
                </c:pt>
                <c:pt idx="6">
                  <c:v>301.57142857142867</c:v>
                </c:pt>
                <c:pt idx="7">
                  <c:v>284.00000000000011</c:v>
                </c:pt>
                <c:pt idx="8">
                  <c:v>266.42857142857156</c:v>
                </c:pt>
                <c:pt idx="9">
                  <c:v>248.85714285714297</c:v>
                </c:pt>
                <c:pt idx="10">
                  <c:v>231.28571428571439</c:v>
                </c:pt>
                <c:pt idx="11">
                  <c:v>213.71428571428581</c:v>
                </c:pt>
                <c:pt idx="12">
                  <c:v>196.14285714285722</c:v>
                </c:pt>
                <c:pt idx="13">
                  <c:v>178.57142857142864</c:v>
                </c:pt>
                <c:pt idx="14">
                  <c:v>161.00000000000006</c:v>
                </c:pt>
                <c:pt idx="15">
                  <c:v>143.42857142857147</c:v>
                </c:pt>
                <c:pt idx="16">
                  <c:v>125.8571428571429</c:v>
                </c:pt>
                <c:pt idx="17">
                  <c:v>108.28571428571433</c:v>
                </c:pt>
                <c:pt idx="18">
                  <c:v>90.714285714285765</c:v>
                </c:pt>
                <c:pt idx="19">
                  <c:v>73.142857142857196</c:v>
                </c:pt>
                <c:pt idx="20">
                  <c:v>55.571428571428626</c:v>
                </c:pt>
                <c:pt idx="21">
                  <c:v>38.000000000000057</c:v>
                </c:pt>
                <c:pt idx="22">
                  <c:v>0</c:v>
                </c:pt>
              </c:numCache>
            </c:numRef>
          </c:val>
          <c:smooth val="0"/>
          <c:extLst>
            <c:ext xmlns:c16="http://schemas.microsoft.com/office/drawing/2014/chart" uri="{C3380CC4-5D6E-409C-BE32-E72D297353CC}">
              <c16:uniqueId val="{00000000-99EE-4C8B-8781-9F76C9F4280E}"/>
            </c:ext>
          </c:extLst>
        </c:ser>
        <c:ser>
          <c:idx val="1"/>
          <c:order val="1"/>
          <c:tx>
            <c:v>Actual</c:v>
          </c:tx>
          <c:spPr>
            <a:ln cmpd="sng">
              <a:solidFill>
                <a:srgbClr val="ED7D31"/>
              </a:solidFill>
            </a:ln>
          </c:spPr>
          <c:marker>
            <c:symbol val="none"/>
          </c:marker>
          <c:cat>
            <c:strRef>
              <c:f>'Sprint 2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2 Backlog'!$K$117:$AG$117</c:f>
              <c:numCache>
                <c:formatCode>0</c:formatCode>
                <c:ptCount val="23"/>
                <c:pt idx="0" formatCode="General">
                  <c:v>411</c:v>
                </c:pt>
                <c:pt idx="1">
                  <c:v>407</c:v>
                </c:pt>
                <c:pt idx="2">
                  <c:v>400</c:v>
                </c:pt>
                <c:pt idx="3">
                  <c:v>389</c:v>
                </c:pt>
                <c:pt idx="4">
                  <c:v>379</c:v>
                </c:pt>
                <c:pt idx="5">
                  <c:v>371</c:v>
                </c:pt>
                <c:pt idx="6">
                  <c:v>357</c:v>
                </c:pt>
                <c:pt idx="7">
                  <c:v>345</c:v>
                </c:pt>
                <c:pt idx="8">
                  <c:v>333</c:v>
                </c:pt>
                <c:pt idx="9">
                  <c:v>323</c:v>
                </c:pt>
                <c:pt idx="10">
                  <c:v>311</c:v>
                </c:pt>
                <c:pt idx="11">
                  <c:v>295</c:v>
                </c:pt>
                <c:pt idx="12">
                  <c:v>272</c:v>
                </c:pt>
                <c:pt idx="13">
                  <c:v>245</c:v>
                </c:pt>
                <c:pt idx="14">
                  <c:v>214</c:v>
                </c:pt>
                <c:pt idx="15">
                  <c:v>177</c:v>
                </c:pt>
                <c:pt idx="16">
                  <c:v>144</c:v>
                </c:pt>
                <c:pt idx="17">
                  <c:v>115</c:v>
                </c:pt>
                <c:pt idx="18">
                  <c:v>87</c:v>
                </c:pt>
                <c:pt idx="19">
                  <c:v>69</c:v>
                </c:pt>
                <c:pt idx="20">
                  <c:v>60</c:v>
                </c:pt>
                <c:pt idx="21">
                  <c:v>50</c:v>
                </c:pt>
                <c:pt idx="22">
                  <c:v>0</c:v>
                </c:pt>
              </c:numCache>
            </c:numRef>
          </c:val>
          <c:smooth val="0"/>
          <c:extLst>
            <c:ext xmlns:c16="http://schemas.microsoft.com/office/drawing/2014/chart" uri="{C3380CC4-5D6E-409C-BE32-E72D297353CC}">
              <c16:uniqueId val="{00000001-99EE-4C8B-8781-9F76C9F4280E}"/>
            </c:ext>
          </c:extLst>
        </c:ser>
        <c:dLbls>
          <c:showLegendKey val="0"/>
          <c:showVal val="0"/>
          <c:showCatName val="0"/>
          <c:showSerName val="0"/>
          <c:showPercent val="0"/>
          <c:showBubbleSize val="0"/>
        </c:dLbls>
        <c:smooth val="0"/>
        <c:axId val="27495858"/>
        <c:axId val="576943797"/>
      </c:lineChart>
      <c:catAx>
        <c:axId val="2749585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rot="-5400000"/>
          <a:lstStyle/>
          <a:p>
            <a:pPr lvl="0">
              <a:defRPr sz="900" b="0" i="0">
                <a:solidFill>
                  <a:schemeClr val="dk1"/>
                </a:solidFill>
                <a:latin typeface="+mn-lt"/>
              </a:defRPr>
            </a:pPr>
            <a:endParaRPr lang="en-US"/>
          </a:p>
        </c:txPr>
        <c:crossAx val="576943797"/>
        <c:crosses val="autoZero"/>
        <c:auto val="1"/>
        <c:lblAlgn val="ctr"/>
        <c:lblOffset val="100"/>
        <c:noMultiLvlLbl val="1"/>
      </c:catAx>
      <c:valAx>
        <c:axId val="57694379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27495858"/>
        <c:crosses val="autoZero"/>
        <c:crossBetween val="between"/>
      </c:valAx>
      <c:spPr>
        <a:solidFill>
          <a:schemeClr val="lt1"/>
        </a:solidFill>
      </c:spPr>
    </c:plotArea>
    <c:legend>
      <c:legendPos val="tr"/>
      <c:overlay val="1"/>
      <c:txPr>
        <a:bodyPr/>
        <a:lstStyle/>
        <a:p>
          <a:pPr lvl="0">
            <a:defRPr b="0">
              <a:solidFill>
                <a:srgbClr val="1A1A1A"/>
              </a:solidFill>
              <a:latin typeface="Arial"/>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chemeClr val="dk1"/>
                </a:solidFill>
                <a:latin typeface="Calibri Light"/>
              </a:defRPr>
            </a:pPr>
            <a:r>
              <a:rPr lang="en-US" sz="1200" b="1" i="0">
                <a:solidFill>
                  <a:schemeClr val="dk1"/>
                </a:solidFill>
                <a:latin typeface="Calibri Light"/>
              </a:rPr>
              <a:t>Burn Down Chart</a:t>
            </a:r>
          </a:p>
        </c:rich>
      </c:tx>
      <c:overlay val="0"/>
    </c:title>
    <c:autoTitleDeleted val="0"/>
    <c:plotArea>
      <c:layout>
        <c:manualLayout>
          <c:xMode val="edge"/>
          <c:yMode val="edge"/>
          <c:x val="7.0646061187341777E-2"/>
          <c:y val="0.12941176470588234"/>
          <c:w val="0.90839781569543487"/>
          <c:h val="0.74291948800517582"/>
        </c:manualLayout>
      </c:layout>
      <c:lineChart>
        <c:grouping val="standard"/>
        <c:varyColors val="1"/>
        <c:ser>
          <c:idx val="0"/>
          <c:order val="0"/>
          <c:tx>
            <c:v>estimate</c:v>
          </c:tx>
          <c:spPr>
            <a:ln w="19050" cmpd="sng">
              <a:solidFill>
                <a:schemeClr val="accent1"/>
              </a:solidFill>
            </a:ln>
          </c:spPr>
          <c:marker>
            <c:symbol val="none"/>
          </c:marker>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'Sprint 3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3 Backlog'!$K$91:$AG$91</c:f>
              <c:numCache>
                <c:formatCode>0</c:formatCode>
                <c:ptCount val="23"/>
                <c:pt idx="0" formatCode="General">
                  <c:v>334</c:v>
                </c:pt>
                <c:pt idx="1">
                  <c:v>349.33333333333331</c:v>
                </c:pt>
                <c:pt idx="2">
                  <c:v>334.66666666666663</c:v>
                </c:pt>
                <c:pt idx="3">
                  <c:v>319.99999999999994</c:v>
                </c:pt>
                <c:pt idx="4">
                  <c:v>305.33333333333326</c:v>
                </c:pt>
                <c:pt idx="5">
                  <c:v>290.66666666666657</c:v>
                </c:pt>
                <c:pt idx="6">
                  <c:v>275.99999999999989</c:v>
                </c:pt>
                <c:pt idx="7">
                  <c:v>261.3333333333332</c:v>
                </c:pt>
                <c:pt idx="8">
                  <c:v>246.66666666666654</c:v>
                </c:pt>
                <c:pt idx="9">
                  <c:v>231.99999999999989</c:v>
                </c:pt>
                <c:pt idx="10">
                  <c:v>217.33333333333323</c:v>
                </c:pt>
                <c:pt idx="11">
                  <c:v>202.66666666666657</c:v>
                </c:pt>
                <c:pt idx="12">
                  <c:v>187.99999999999991</c:v>
                </c:pt>
                <c:pt idx="13">
                  <c:v>173.33333333333326</c:v>
                </c:pt>
                <c:pt idx="14">
                  <c:v>158.6666666666666</c:v>
                </c:pt>
                <c:pt idx="15">
                  <c:v>143.99999999999994</c:v>
                </c:pt>
                <c:pt idx="16">
                  <c:v>129.33333333333329</c:v>
                </c:pt>
                <c:pt idx="17">
                  <c:v>114.66666666666661</c:v>
                </c:pt>
                <c:pt idx="18">
                  <c:v>99.999999999999943</c:v>
                </c:pt>
                <c:pt idx="19">
                  <c:v>85.333333333333272</c:v>
                </c:pt>
                <c:pt idx="20">
                  <c:v>70.6666666666666</c:v>
                </c:pt>
                <c:pt idx="21">
                  <c:v>55.999999999999936</c:v>
                </c:pt>
                <c:pt idx="22">
                  <c:v>0</c:v>
                </c:pt>
              </c:numCache>
            </c:numRef>
          </c:val>
          <c:smooth val="0"/>
          <c:extLst>
            <c:ext xmlns:c16="http://schemas.microsoft.com/office/drawing/2014/chart" uri="{C3380CC4-5D6E-409C-BE32-E72D297353CC}">
              <c16:uniqueId val="{00000000-138A-4045-A9AE-ECE5C2BDFAC8}"/>
            </c:ext>
          </c:extLst>
        </c:ser>
        <c:ser>
          <c:idx val="1"/>
          <c:order val="1"/>
          <c:tx>
            <c:v>actual</c:v>
          </c:tx>
          <c:spPr>
            <a:ln cmpd="sng">
              <a:solidFill>
                <a:srgbClr val="ED7D31"/>
              </a:solidFill>
            </a:ln>
          </c:spPr>
          <c:marker>
            <c:symbol val="none"/>
          </c:marker>
          <c:cat>
            <c:strRef>
              <c:f>'Sprint 3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3 Backlog'!$K$92:$AG$92</c:f>
              <c:numCache>
                <c:formatCode>0</c:formatCode>
                <c:ptCount val="23"/>
                <c:pt idx="0" formatCode="General">
                  <c:v>334</c:v>
                </c:pt>
                <c:pt idx="1">
                  <c:v>331</c:v>
                </c:pt>
                <c:pt idx="2">
                  <c:v>325</c:v>
                </c:pt>
                <c:pt idx="3">
                  <c:v>321</c:v>
                </c:pt>
                <c:pt idx="4">
                  <c:v>311</c:v>
                </c:pt>
                <c:pt idx="5">
                  <c:v>301</c:v>
                </c:pt>
                <c:pt idx="6">
                  <c:v>290</c:v>
                </c:pt>
                <c:pt idx="7">
                  <c:v>275</c:v>
                </c:pt>
                <c:pt idx="8">
                  <c:v>262</c:v>
                </c:pt>
                <c:pt idx="9">
                  <c:v>250</c:v>
                </c:pt>
                <c:pt idx="10">
                  <c:v>238</c:v>
                </c:pt>
                <c:pt idx="11">
                  <c:v>223</c:v>
                </c:pt>
                <c:pt idx="12">
                  <c:v>205</c:v>
                </c:pt>
                <c:pt idx="13">
                  <c:v>187</c:v>
                </c:pt>
                <c:pt idx="14">
                  <c:v>170</c:v>
                </c:pt>
                <c:pt idx="15">
                  <c:v>150</c:v>
                </c:pt>
                <c:pt idx="16">
                  <c:v>126</c:v>
                </c:pt>
                <c:pt idx="17">
                  <c:v>103</c:v>
                </c:pt>
                <c:pt idx="18">
                  <c:v>84</c:v>
                </c:pt>
                <c:pt idx="19">
                  <c:v>63</c:v>
                </c:pt>
                <c:pt idx="20">
                  <c:v>49</c:v>
                </c:pt>
                <c:pt idx="21">
                  <c:v>34</c:v>
                </c:pt>
                <c:pt idx="22">
                  <c:v>0</c:v>
                </c:pt>
              </c:numCache>
            </c:numRef>
          </c:val>
          <c:smooth val="0"/>
          <c:extLst>
            <c:ext xmlns:c16="http://schemas.microsoft.com/office/drawing/2014/chart" uri="{C3380CC4-5D6E-409C-BE32-E72D297353CC}">
              <c16:uniqueId val="{00000001-138A-4045-A9AE-ECE5C2BDFAC8}"/>
            </c:ext>
          </c:extLst>
        </c:ser>
        <c:dLbls>
          <c:showLegendKey val="0"/>
          <c:showVal val="0"/>
          <c:showCatName val="0"/>
          <c:showSerName val="0"/>
          <c:showPercent val="0"/>
          <c:showBubbleSize val="0"/>
        </c:dLbls>
        <c:smooth val="0"/>
        <c:axId val="1910839766"/>
        <c:axId val="184276489"/>
      </c:lineChart>
      <c:catAx>
        <c:axId val="191083976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rot="-5400000"/>
          <a:lstStyle/>
          <a:p>
            <a:pPr lvl="0">
              <a:defRPr sz="900" b="0" i="0">
                <a:solidFill>
                  <a:schemeClr val="dk1"/>
                </a:solidFill>
                <a:latin typeface="+mn-lt"/>
              </a:defRPr>
            </a:pPr>
            <a:endParaRPr lang="en-US"/>
          </a:p>
        </c:txPr>
        <c:crossAx val="184276489"/>
        <c:crosses val="autoZero"/>
        <c:auto val="1"/>
        <c:lblAlgn val="ctr"/>
        <c:lblOffset val="100"/>
        <c:noMultiLvlLbl val="1"/>
      </c:catAx>
      <c:valAx>
        <c:axId val="1842764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1910839766"/>
        <c:crosses val="autoZero"/>
        <c:crossBetween val="between"/>
      </c:valAx>
      <c:spPr>
        <a:solidFill>
          <a:schemeClr val="lt1"/>
        </a:solidFill>
      </c:spPr>
    </c:plotArea>
    <c:legend>
      <c:legendPos val="tr"/>
      <c:overlay val="1"/>
      <c:txPr>
        <a:bodyPr/>
        <a:lstStyle/>
        <a:p>
          <a:pPr lvl="0">
            <a:defRPr b="0">
              <a:solidFill>
                <a:srgbClr val="1A1A1A"/>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lang="en-US" sz="1400" b="1" i="0">
                <a:solidFill>
                  <a:srgbClr val="757575"/>
                </a:solidFill>
                <a:latin typeface="+mn-lt"/>
              </a:rPr>
              <a:t>Hours available per Sprint 3</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9C82-4AC3-9B51-2A9F09858EE4}"/>
              </c:ext>
            </c:extLst>
          </c:dPt>
          <c:dPt>
            <c:idx val="1"/>
            <c:bubble3D val="0"/>
            <c:spPr>
              <a:solidFill>
                <a:schemeClr val="accent2"/>
              </a:solidFill>
            </c:spPr>
            <c:extLst>
              <c:ext xmlns:c16="http://schemas.microsoft.com/office/drawing/2014/chart" uri="{C3380CC4-5D6E-409C-BE32-E72D297353CC}">
                <c16:uniqueId val="{00000003-9C82-4AC3-9B51-2A9F09858EE4}"/>
              </c:ext>
            </c:extLst>
          </c:dPt>
          <c:dPt>
            <c:idx val="2"/>
            <c:bubble3D val="0"/>
            <c:spPr>
              <a:solidFill>
                <a:schemeClr val="accent3"/>
              </a:solidFill>
            </c:spPr>
            <c:extLst>
              <c:ext xmlns:c16="http://schemas.microsoft.com/office/drawing/2014/chart" uri="{C3380CC4-5D6E-409C-BE32-E72D297353CC}">
                <c16:uniqueId val="{00000005-9C82-4AC3-9B51-2A9F09858EE4}"/>
              </c:ext>
            </c:extLst>
          </c:dPt>
          <c:dPt>
            <c:idx val="3"/>
            <c:bubble3D val="0"/>
            <c:spPr>
              <a:solidFill>
                <a:schemeClr val="accent4"/>
              </a:solidFill>
            </c:spPr>
            <c:extLst>
              <c:ext xmlns:c16="http://schemas.microsoft.com/office/drawing/2014/chart" uri="{C3380CC4-5D6E-409C-BE32-E72D297353CC}">
                <c16:uniqueId val="{00000007-9C82-4AC3-9B51-2A9F09858EE4}"/>
              </c:ext>
            </c:extLst>
          </c:dPt>
          <c:dPt>
            <c:idx val="4"/>
            <c:bubble3D val="0"/>
            <c:spPr>
              <a:solidFill>
                <a:schemeClr val="accent5"/>
              </a:solidFill>
            </c:spPr>
            <c:extLst>
              <c:ext xmlns:c16="http://schemas.microsoft.com/office/drawing/2014/chart" uri="{C3380CC4-5D6E-409C-BE32-E72D297353CC}">
                <c16:uniqueId val="{00000009-9C82-4AC3-9B51-2A9F09858EE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'Sprint 3 Backlog'!$K$94:$K$98</c:f>
              <c:strCache>
                <c:ptCount val="5"/>
                <c:pt idx="0">
                  <c:v>Trang</c:v>
                </c:pt>
                <c:pt idx="1">
                  <c:v>Huy</c:v>
                </c:pt>
                <c:pt idx="2">
                  <c:v>Thang</c:v>
                </c:pt>
                <c:pt idx="3">
                  <c:v>Binh</c:v>
                </c:pt>
                <c:pt idx="4">
                  <c:v>Bao</c:v>
                </c:pt>
              </c:strCache>
            </c:strRef>
          </c:cat>
          <c:val>
            <c:numRef>
              <c:f>'Sprint 3 Backlog'!$AG$94:$AG$98</c:f>
              <c:numCache>
                <c:formatCode>General</c:formatCode>
                <c:ptCount val="5"/>
                <c:pt idx="0">
                  <c:v>54</c:v>
                </c:pt>
                <c:pt idx="1">
                  <c:v>42</c:v>
                </c:pt>
                <c:pt idx="2">
                  <c:v>8</c:v>
                </c:pt>
                <c:pt idx="3">
                  <c:v>134</c:v>
                </c:pt>
                <c:pt idx="4">
                  <c:v>27</c:v>
                </c:pt>
              </c:numCache>
            </c:numRef>
          </c:val>
          <c:extLst>
            <c:ext xmlns:c16="http://schemas.microsoft.com/office/drawing/2014/chart" uri="{C3380CC4-5D6E-409C-BE32-E72D297353CC}">
              <c16:uniqueId val="{0000000A-9C82-4AC3-9B51-2A9F09858EE4}"/>
            </c:ext>
          </c:extLst>
        </c:ser>
        <c:dLbls>
          <c:showLegendKey val="0"/>
          <c:showVal val="0"/>
          <c:showCatName val="0"/>
          <c:showSerName val="0"/>
          <c:showPercent val="0"/>
          <c:showBubbleSize val="0"/>
          <c:showLeaderLines val="1"/>
        </c:dLbls>
        <c:firstSliceAng val="0"/>
      </c:pieChart>
    </c:plotArea>
    <c:legend>
      <c:legendPos val="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171450</xdr:colOff>
      <xdr:row>0</xdr:row>
      <xdr:rowOff>47625</xdr:rowOff>
    </xdr:from>
    <xdr:ext cx="1571625" cy="6191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0</xdr:row>
      <xdr:rowOff>0</xdr:rowOff>
    </xdr:from>
    <xdr:ext cx="1600200" cy="6191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495300</xdr:colOff>
      <xdr:row>120</xdr:row>
      <xdr:rowOff>66675</xdr:rowOff>
    </xdr:from>
    <xdr:ext cx="4400550" cy="3552825"/>
    <xdr:graphicFrame macro="">
      <xdr:nvGraphicFramePr>
        <xdr:cNvPr id="128358680" name="Chart 1" title="Chart">
          <a:extLst>
            <a:ext uri="{FF2B5EF4-FFF2-40B4-BE49-F238E27FC236}">
              <a16:creationId xmlns:a16="http://schemas.microsoft.com/office/drawing/2014/main" id="{00000000-0008-0000-0200-00001899A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304800</xdr:colOff>
      <xdr:row>0</xdr:row>
      <xdr:rowOff>38100</xdr:rowOff>
    </xdr:from>
    <xdr:ext cx="1581150" cy="6191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228600</xdr:colOff>
      <xdr:row>8</xdr:row>
      <xdr:rowOff>57150</xdr:rowOff>
    </xdr:from>
    <xdr:ext cx="7553325" cy="5486400"/>
    <xdr:graphicFrame macro="">
      <xdr:nvGraphicFramePr>
        <xdr:cNvPr id="776809152" name="Chart 2" title="Chart">
          <a:extLst>
            <a:ext uri="{FF2B5EF4-FFF2-40B4-BE49-F238E27FC236}">
              <a16:creationId xmlns:a16="http://schemas.microsoft.com/office/drawing/2014/main" id="{00000000-0008-0000-0300-0000C02A4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285750</xdr:colOff>
      <xdr:row>0</xdr:row>
      <xdr:rowOff>0</xdr:rowOff>
    </xdr:from>
    <xdr:ext cx="1562100" cy="6191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542925</xdr:colOff>
      <xdr:row>117</xdr:row>
      <xdr:rowOff>142875</xdr:rowOff>
    </xdr:from>
    <xdr:ext cx="4400550" cy="3552825"/>
    <xdr:graphicFrame macro="">
      <xdr:nvGraphicFramePr>
        <xdr:cNvPr id="466519774" name="Chart 3" title="Chart">
          <a:extLst>
            <a:ext uri="{FF2B5EF4-FFF2-40B4-BE49-F238E27FC236}">
              <a16:creationId xmlns:a16="http://schemas.microsoft.com/office/drawing/2014/main" id="{00000000-0008-0000-0400-0000DE86C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304800</xdr:colOff>
      <xdr:row>0</xdr:row>
      <xdr:rowOff>38100</xdr:rowOff>
    </xdr:from>
    <xdr:ext cx="1581150" cy="6191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161925</xdr:colOff>
      <xdr:row>8</xdr:row>
      <xdr:rowOff>76200</xdr:rowOff>
    </xdr:from>
    <xdr:ext cx="8020050" cy="5486400"/>
    <xdr:graphicFrame macro="">
      <xdr:nvGraphicFramePr>
        <xdr:cNvPr id="1327181466" name="Chart 4" title="Chart">
          <a:extLst>
            <a:ext uri="{FF2B5EF4-FFF2-40B4-BE49-F238E27FC236}">
              <a16:creationId xmlns:a16="http://schemas.microsoft.com/office/drawing/2014/main" id="{00000000-0008-0000-0500-00009A2E1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285750</xdr:colOff>
      <xdr:row>0</xdr:row>
      <xdr:rowOff>0</xdr:rowOff>
    </xdr:from>
    <xdr:ext cx="1562100" cy="61912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9</xdr:row>
      <xdr:rowOff>66675</xdr:rowOff>
    </xdr:from>
    <xdr:ext cx="7553325" cy="5486400"/>
    <xdr:graphicFrame macro="">
      <xdr:nvGraphicFramePr>
        <xdr:cNvPr id="208474193" name="Chart 6" title="Chart">
          <a:extLst>
            <a:ext uri="{FF2B5EF4-FFF2-40B4-BE49-F238E27FC236}">
              <a16:creationId xmlns:a16="http://schemas.microsoft.com/office/drawing/2014/main" id="{00000000-0008-0000-0700-000051106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285750</xdr:colOff>
      <xdr:row>0</xdr:row>
      <xdr:rowOff>0</xdr:rowOff>
    </xdr:from>
    <xdr:ext cx="1562100" cy="61912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552450</xdr:colOff>
      <xdr:row>92</xdr:row>
      <xdr:rowOff>123825</xdr:rowOff>
    </xdr:from>
    <xdr:ext cx="4400550" cy="3552825"/>
    <xdr:graphicFrame macro="">
      <xdr:nvGraphicFramePr>
        <xdr:cNvPr id="1019571996" name="Chart 5" title="Chart">
          <a:extLst>
            <a:ext uri="{FF2B5EF4-FFF2-40B4-BE49-F238E27FC236}">
              <a16:creationId xmlns:a16="http://schemas.microsoft.com/office/drawing/2014/main" id="{00000000-0008-0000-0600-00001C6FC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304800</xdr:colOff>
      <xdr:row>0</xdr:row>
      <xdr:rowOff>38100</xdr:rowOff>
    </xdr:from>
    <xdr:ext cx="1581150" cy="61912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314325</xdr:colOff>
      <xdr:row>0</xdr:row>
      <xdr:rowOff>0</xdr:rowOff>
    </xdr:from>
    <xdr:ext cx="1600200" cy="61912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476250</xdr:colOff>
      <xdr:row>0</xdr:row>
      <xdr:rowOff>0</xdr:rowOff>
    </xdr:from>
    <xdr:ext cx="2609850" cy="61912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285750</xdr:colOff>
      <xdr:row>0</xdr:row>
      <xdr:rowOff>38100</xdr:rowOff>
    </xdr:from>
    <xdr:ext cx="1695450" cy="619125"/>
    <xdr:pic>
      <xdr:nvPicPr>
        <xdr:cNvPr id="2" name="image1.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scrumalliance.org/" TargetMode="External"/><Relationship Id="rId2" Type="http://schemas.openxmlformats.org/officeDocument/2006/relationships/hyperlink" Target="https://scrumguides.org/scrum-guide.html" TargetMode="External"/><Relationship Id="rId1" Type="http://schemas.openxmlformats.org/officeDocument/2006/relationships/hyperlink" Target="https://www.scrumalliance.org/community/articles/2007/march/glossary-of-scrum-terms"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E0B3"/>
  </sheetPr>
  <dimension ref="A1:Z1000"/>
  <sheetViews>
    <sheetView showGridLines="0" workbookViewId="0">
      <selection activeCell="F19" sqref="F19"/>
    </sheetView>
  </sheetViews>
  <sheetFormatPr defaultColWidth="14.44140625" defaultRowHeight="15" customHeight="1" x14ac:dyDescent="0.3"/>
  <cols>
    <col min="1" max="1" width="5.109375" customWidth="1"/>
    <col min="2" max="2" width="15" customWidth="1"/>
    <col min="3" max="3" width="24.88671875" customWidth="1"/>
    <col min="4" max="4" width="15.5546875" customWidth="1"/>
    <col min="5" max="5" width="17.33203125" customWidth="1"/>
    <col min="6" max="6" width="26.44140625" customWidth="1"/>
    <col min="7" max="7" width="35" customWidth="1"/>
    <col min="8" max="8" width="19.6640625" customWidth="1"/>
    <col min="9" max="9" width="8.6640625" customWidth="1"/>
    <col min="10" max="11" width="12.6640625" customWidth="1"/>
    <col min="12" max="12" width="13.6640625" customWidth="1"/>
    <col min="13" max="14" width="12.5546875" customWidth="1"/>
    <col min="15" max="15" width="31.88671875" customWidth="1"/>
    <col min="16" max="26" width="8.6640625" customWidth="1"/>
  </cols>
  <sheetData>
    <row r="1" spans="1:26" ht="13.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3.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3.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3.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27" customHeight="1" x14ac:dyDescent="0.35">
      <c r="A5" s="1"/>
      <c r="B5" s="2" t="s">
        <v>0</v>
      </c>
      <c r="C5" s="1"/>
      <c r="D5" s="1"/>
      <c r="E5" s="3"/>
      <c r="F5" s="1"/>
      <c r="G5" s="1"/>
      <c r="H5" s="1"/>
      <c r="I5" s="1"/>
      <c r="J5" s="1"/>
      <c r="K5" s="1"/>
      <c r="L5" s="1"/>
      <c r="M5" s="1"/>
      <c r="N5" s="1"/>
      <c r="O5" s="1"/>
      <c r="P5" s="1"/>
      <c r="Q5" s="1"/>
      <c r="R5" s="1"/>
      <c r="S5" s="1"/>
      <c r="T5" s="1"/>
      <c r="U5" s="1"/>
      <c r="V5" s="1"/>
      <c r="W5" s="1"/>
      <c r="X5" s="1"/>
      <c r="Y5" s="1"/>
      <c r="Z5" s="1"/>
    </row>
    <row r="6" spans="1:26" ht="13.5" customHeight="1" x14ac:dyDescent="0.3">
      <c r="A6" s="1"/>
      <c r="B6" s="1"/>
      <c r="C6" s="1"/>
      <c r="D6" s="1"/>
      <c r="E6" s="1"/>
      <c r="F6" s="1"/>
      <c r="G6" s="1"/>
      <c r="H6" s="1"/>
      <c r="I6" s="1"/>
      <c r="J6" s="1"/>
      <c r="K6" s="1"/>
      <c r="L6" s="1"/>
      <c r="M6" s="1"/>
      <c r="N6" s="1"/>
      <c r="O6" s="1"/>
      <c r="P6" s="1"/>
      <c r="Q6" s="1"/>
      <c r="R6" s="1"/>
      <c r="S6" s="1"/>
      <c r="T6" s="1"/>
      <c r="U6" s="1"/>
      <c r="V6" s="1"/>
      <c r="W6" s="1"/>
      <c r="X6" s="1"/>
      <c r="Y6" s="1"/>
      <c r="Z6" s="1"/>
    </row>
    <row r="7" spans="1:26" ht="13.5" customHeight="1" x14ac:dyDescent="0.3">
      <c r="A7" s="1"/>
      <c r="B7" s="1"/>
      <c r="C7" s="4" t="s">
        <v>1</v>
      </c>
      <c r="D7" s="1"/>
      <c r="E7" s="5"/>
      <c r="F7" s="1"/>
      <c r="G7" s="1"/>
      <c r="H7" s="1"/>
      <c r="I7" s="1"/>
      <c r="J7" s="1"/>
      <c r="K7" s="1"/>
      <c r="L7" s="1"/>
      <c r="M7" s="1"/>
      <c r="N7" s="1"/>
      <c r="O7" s="1"/>
      <c r="P7" s="1"/>
      <c r="Q7" s="1"/>
      <c r="R7" s="1"/>
      <c r="S7" s="1"/>
      <c r="T7" s="1"/>
      <c r="U7" s="1"/>
      <c r="V7" s="1"/>
      <c r="W7" s="1"/>
      <c r="X7" s="1"/>
      <c r="Y7" s="1"/>
      <c r="Z7" s="1"/>
    </row>
    <row r="8" spans="1:26" ht="13.5" customHeight="1" x14ac:dyDescent="0.3">
      <c r="A8" s="1"/>
      <c r="B8" s="6"/>
      <c r="C8" s="7" t="s">
        <v>2</v>
      </c>
      <c r="D8" s="7" t="s">
        <v>3</v>
      </c>
      <c r="E8" s="7" t="s">
        <v>4</v>
      </c>
      <c r="F8" s="7" t="s">
        <v>5</v>
      </c>
      <c r="G8" s="7" t="s">
        <v>6</v>
      </c>
      <c r="H8" s="8" t="s">
        <v>7</v>
      </c>
      <c r="I8" s="7" t="s">
        <v>8</v>
      </c>
      <c r="J8" s="1"/>
      <c r="K8" s="1"/>
      <c r="L8" s="1"/>
      <c r="M8" s="1"/>
      <c r="N8" s="1"/>
      <c r="O8" s="1"/>
      <c r="P8" s="1"/>
      <c r="Q8" s="1"/>
      <c r="R8" s="1"/>
      <c r="S8" s="1"/>
      <c r="T8" s="1"/>
      <c r="U8" s="1"/>
      <c r="V8" s="1"/>
      <c r="W8" s="1"/>
      <c r="X8" s="1"/>
      <c r="Y8" s="1"/>
      <c r="Z8" s="1"/>
    </row>
    <row r="9" spans="1:26" ht="13.5" customHeight="1" x14ac:dyDescent="0.3">
      <c r="A9" s="1"/>
      <c r="B9" s="1"/>
      <c r="C9" s="9" t="s">
        <v>9</v>
      </c>
      <c r="D9" s="10" t="s">
        <v>10</v>
      </c>
      <c r="E9" s="10" t="s">
        <v>11</v>
      </c>
      <c r="F9" s="10" t="s">
        <v>12</v>
      </c>
      <c r="G9" s="10">
        <v>355</v>
      </c>
      <c r="H9" s="10">
        <v>413</v>
      </c>
      <c r="I9" s="10"/>
      <c r="J9" s="1"/>
      <c r="K9" s="1"/>
      <c r="L9" s="1"/>
      <c r="M9" s="1"/>
      <c r="N9" s="1"/>
      <c r="O9" s="1"/>
      <c r="P9" s="1"/>
      <c r="Q9" s="1"/>
      <c r="R9" s="1"/>
      <c r="S9" s="1"/>
      <c r="T9" s="1"/>
      <c r="U9" s="1"/>
      <c r="V9" s="1"/>
      <c r="W9" s="1"/>
      <c r="X9" s="1"/>
      <c r="Y9" s="1"/>
      <c r="Z9" s="1"/>
    </row>
    <row r="10" spans="1:26" ht="13.5" customHeight="1" x14ac:dyDescent="0.3">
      <c r="A10" s="11"/>
      <c r="B10" s="1"/>
      <c r="C10" s="9" t="s">
        <v>13</v>
      </c>
      <c r="D10" s="10" t="s">
        <v>14</v>
      </c>
      <c r="E10" s="10" t="s">
        <v>15</v>
      </c>
      <c r="F10" s="10" t="s">
        <v>12</v>
      </c>
      <c r="G10" s="10">
        <v>356</v>
      </c>
      <c r="H10" s="10">
        <v>411</v>
      </c>
      <c r="I10" s="10"/>
      <c r="J10" s="1"/>
      <c r="K10" s="1"/>
      <c r="L10" s="1"/>
      <c r="M10" s="1"/>
      <c r="N10" s="1"/>
      <c r="O10" s="1"/>
      <c r="P10" s="1"/>
      <c r="Q10" s="1"/>
      <c r="R10" s="1"/>
      <c r="S10" s="1"/>
      <c r="T10" s="1"/>
      <c r="U10" s="1"/>
      <c r="V10" s="1"/>
      <c r="W10" s="1"/>
      <c r="X10" s="1"/>
      <c r="Y10" s="1"/>
      <c r="Z10" s="1"/>
    </row>
    <row r="11" spans="1:26" ht="13.5" customHeight="1" x14ac:dyDescent="0.3">
      <c r="A11" s="1"/>
      <c r="B11" s="1"/>
      <c r="C11" s="9" t="s">
        <v>16</v>
      </c>
      <c r="D11" s="10" t="s">
        <v>17</v>
      </c>
      <c r="E11" s="10" t="s">
        <v>18</v>
      </c>
      <c r="F11" s="10" t="s">
        <v>12</v>
      </c>
      <c r="G11" s="10">
        <v>338</v>
      </c>
      <c r="H11" s="10">
        <v>370</v>
      </c>
      <c r="I11" s="10"/>
      <c r="J11" s="1"/>
      <c r="K11" s="1"/>
      <c r="L11" s="1"/>
      <c r="M11" s="1"/>
      <c r="N11" s="1"/>
      <c r="O11" s="1"/>
      <c r="P11" s="1"/>
      <c r="Q11" s="1"/>
      <c r="R11" s="1"/>
      <c r="S11" s="1"/>
      <c r="T11" s="1"/>
      <c r="U11" s="1"/>
      <c r="V11" s="1"/>
      <c r="W11" s="1"/>
      <c r="X11" s="1"/>
      <c r="Y11" s="1"/>
      <c r="Z11" s="1"/>
    </row>
    <row r="12" spans="1:26" ht="13.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row>
    <row r="20" spans="1:26" ht="13.5" customHeight="1" x14ac:dyDescent="0.3">
      <c r="A20" s="1"/>
      <c r="B20" s="1"/>
      <c r="C20" s="1"/>
      <c r="D20" s="1"/>
      <c r="E20" s="1"/>
      <c r="F20" s="1"/>
      <c r="G20" s="1"/>
      <c r="H20" s="1"/>
      <c r="I20" s="1"/>
      <c r="J20" s="1"/>
      <c r="K20" s="1"/>
      <c r="L20" s="1"/>
      <c r="M20" s="1"/>
      <c r="N20" s="1"/>
      <c r="O20" s="1"/>
      <c r="P20" s="1"/>
      <c r="Q20" s="1"/>
      <c r="R20" s="1"/>
      <c r="S20" s="1"/>
      <c r="T20" s="1"/>
    </row>
    <row r="21" spans="1:26" ht="13.5" customHeight="1" x14ac:dyDescent="0.3">
      <c r="A21" s="1"/>
      <c r="B21" s="1"/>
      <c r="C21" s="1"/>
      <c r="D21" s="1"/>
      <c r="E21" s="1"/>
      <c r="F21" s="1"/>
      <c r="G21" s="1"/>
      <c r="H21" s="1"/>
      <c r="I21" s="1"/>
      <c r="J21" s="1"/>
      <c r="K21" s="1"/>
      <c r="L21" s="1"/>
      <c r="M21" s="1"/>
      <c r="N21" s="1"/>
      <c r="O21" s="1"/>
      <c r="P21" s="1"/>
    </row>
    <row r="22" spans="1:26" ht="32.25" customHeight="1" x14ac:dyDescent="0.3">
      <c r="A22" s="1"/>
      <c r="B22" s="1"/>
      <c r="C22" s="1"/>
      <c r="D22" s="1"/>
      <c r="E22" s="1"/>
      <c r="F22" s="1"/>
      <c r="G22" s="1"/>
      <c r="H22" s="1"/>
      <c r="I22" s="1"/>
      <c r="J22" s="1"/>
      <c r="K22" s="1"/>
      <c r="L22" s="1"/>
      <c r="M22" s="1"/>
      <c r="N22" s="1"/>
      <c r="O22" s="1"/>
      <c r="P22" s="1"/>
    </row>
    <row r="23" spans="1:26" ht="13.5" customHeight="1" x14ac:dyDescent="0.3">
      <c r="A23" s="1"/>
      <c r="B23" s="1"/>
      <c r="C23" s="1"/>
      <c r="D23" s="1"/>
      <c r="E23" s="1"/>
      <c r="F23" s="1"/>
      <c r="G23" s="1"/>
      <c r="H23" s="1"/>
      <c r="I23" s="1"/>
      <c r="J23" s="1"/>
      <c r="K23" s="1"/>
      <c r="L23" s="1"/>
      <c r="M23" s="1"/>
      <c r="N23" s="1"/>
      <c r="O23" s="1"/>
      <c r="P23" s="1"/>
    </row>
    <row r="24" spans="1:26" ht="13.5" customHeight="1" x14ac:dyDescent="0.3">
      <c r="A24" s="1"/>
      <c r="B24" s="1"/>
      <c r="C24" s="1"/>
      <c r="D24" s="1"/>
      <c r="E24" s="1"/>
      <c r="F24" s="1"/>
      <c r="G24" s="11"/>
      <c r="H24" s="11"/>
      <c r="I24" s="11"/>
      <c r="J24" s="11"/>
      <c r="K24" s="11"/>
      <c r="L24" s="11"/>
      <c r="M24" s="11"/>
      <c r="N24" s="11"/>
      <c r="O24" s="11"/>
      <c r="P24" s="11"/>
    </row>
    <row r="25" spans="1:26" ht="13.5" customHeight="1" x14ac:dyDescent="0.3">
      <c r="A25" s="1"/>
      <c r="B25" s="1"/>
      <c r="C25" s="1"/>
      <c r="D25" s="1"/>
      <c r="E25" s="1"/>
      <c r="F25" s="1"/>
      <c r="G25" s="1"/>
      <c r="H25" s="1"/>
      <c r="I25" s="1"/>
      <c r="J25" s="1"/>
      <c r="K25" s="1"/>
      <c r="L25" s="1"/>
      <c r="M25" s="1"/>
      <c r="N25" s="1"/>
      <c r="O25" s="1"/>
      <c r="P25" s="1"/>
    </row>
    <row r="26" spans="1:26" ht="13.5" customHeight="1" x14ac:dyDescent="0.3">
      <c r="A26" s="1"/>
      <c r="B26" s="1"/>
      <c r="C26" s="1"/>
      <c r="D26" s="1"/>
      <c r="E26" s="1"/>
      <c r="F26" s="1"/>
      <c r="G26" s="1"/>
      <c r="H26" s="1"/>
      <c r="I26" s="1"/>
    </row>
    <row r="27" spans="1:26" ht="13.5" customHeight="1" x14ac:dyDescent="0.3">
      <c r="A27" s="1"/>
      <c r="B27" s="1"/>
      <c r="C27" s="1"/>
      <c r="D27" s="1"/>
      <c r="E27" s="1"/>
      <c r="F27" s="1"/>
      <c r="G27" s="12"/>
      <c r="H27" s="1"/>
      <c r="I27" s="1"/>
      <c r="J27" s="1"/>
      <c r="K27" s="1"/>
      <c r="L27" s="1"/>
      <c r="M27" s="1"/>
    </row>
    <row r="28" spans="1:26" ht="13.5" customHeight="1" x14ac:dyDescent="0.3">
      <c r="A28" s="1"/>
      <c r="B28" s="1"/>
      <c r="C28" s="1"/>
      <c r="D28" s="1"/>
      <c r="E28" s="1"/>
      <c r="F28" s="1"/>
      <c r="G28" s="1"/>
      <c r="H28" s="1"/>
      <c r="I28" s="1"/>
      <c r="J28" s="1"/>
      <c r="K28" s="1"/>
      <c r="L28" s="1"/>
      <c r="M28" s="1"/>
    </row>
    <row r="29" spans="1:26" ht="13.5" customHeight="1" x14ac:dyDescent="0.3">
      <c r="A29" s="1"/>
      <c r="B29" s="1"/>
      <c r="C29" s="1"/>
      <c r="D29" s="1"/>
      <c r="E29" s="1"/>
      <c r="F29" s="1"/>
      <c r="G29" s="1"/>
      <c r="H29" s="1"/>
      <c r="I29" s="1"/>
      <c r="J29" s="1"/>
      <c r="K29" s="1"/>
      <c r="L29" s="1"/>
      <c r="M29" s="1"/>
    </row>
    <row r="30" spans="1:26" ht="13.5" customHeight="1" x14ac:dyDescent="0.3">
      <c r="A30" s="1"/>
      <c r="B30" s="1"/>
      <c r="C30" s="1"/>
      <c r="D30" s="1"/>
      <c r="E30" s="1"/>
      <c r="F30" s="1"/>
      <c r="G30" s="1"/>
      <c r="H30" s="1"/>
      <c r="I30" s="1"/>
      <c r="J30" s="1"/>
      <c r="K30" s="1"/>
      <c r="L30" s="1"/>
      <c r="M30" s="1"/>
    </row>
    <row r="31" spans="1:26" ht="13.5" customHeight="1" x14ac:dyDescent="0.3">
      <c r="A31" s="1"/>
      <c r="B31" s="1"/>
      <c r="C31" s="1"/>
      <c r="D31" s="1"/>
      <c r="E31" s="1"/>
      <c r="F31" s="1"/>
      <c r="G31" s="1"/>
      <c r="H31" s="1"/>
      <c r="I31" s="1"/>
      <c r="J31" s="1"/>
      <c r="K31" s="1"/>
      <c r="L31" s="1"/>
      <c r="M31" s="1"/>
    </row>
    <row r="32" spans="1:26" ht="13.5" customHeight="1" x14ac:dyDescent="0.3">
      <c r="A32" s="1"/>
      <c r="B32" s="1"/>
      <c r="C32" s="1"/>
      <c r="D32" s="1"/>
      <c r="E32" s="1"/>
      <c r="F32" s="1"/>
      <c r="G32" s="1"/>
      <c r="H32" s="1"/>
      <c r="I32" s="1"/>
      <c r="J32" s="1"/>
      <c r="K32" s="1"/>
      <c r="L32" s="1"/>
      <c r="M32" s="1"/>
    </row>
    <row r="33" spans="1:26" ht="13.5" customHeight="1" x14ac:dyDescent="0.3">
      <c r="A33" s="1"/>
      <c r="B33" s="1"/>
      <c r="C33" s="1"/>
      <c r="D33" s="1"/>
      <c r="E33" s="1"/>
      <c r="F33" s="1"/>
      <c r="G33" s="1"/>
      <c r="H33" s="1"/>
      <c r="I33" s="1"/>
      <c r="J33" s="1"/>
      <c r="K33" s="1"/>
      <c r="L33" s="1"/>
      <c r="M33" s="1"/>
    </row>
    <row r="34" spans="1:26" ht="13.5" customHeight="1" x14ac:dyDescent="0.3">
      <c r="A34" s="1"/>
      <c r="B34" s="1"/>
      <c r="C34" s="1"/>
      <c r="D34" s="1"/>
      <c r="E34" s="1"/>
      <c r="F34" s="1"/>
      <c r="G34" s="1"/>
      <c r="H34" s="1"/>
      <c r="I34" s="1"/>
      <c r="J34" s="1"/>
      <c r="K34" s="1"/>
      <c r="L34" s="1"/>
      <c r="M34" s="1"/>
    </row>
    <row r="35" spans="1:26" ht="13.5" customHeight="1" x14ac:dyDescent="0.3">
      <c r="A35" s="1"/>
      <c r="B35" s="1"/>
      <c r="C35" s="1"/>
      <c r="D35" s="1"/>
      <c r="E35" s="1"/>
      <c r="F35" s="1"/>
      <c r="G35" s="1"/>
      <c r="H35" s="1"/>
      <c r="I35" s="1"/>
      <c r="J35" s="1"/>
      <c r="K35" s="1"/>
      <c r="L35" s="1"/>
      <c r="M35" s="1"/>
    </row>
    <row r="36" spans="1:26" ht="13.5" customHeight="1" x14ac:dyDescent="0.3">
      <c r="A36" s="1"/>
      <c r="B36" s="1"/>
      <c r="C36" s="1"/>
      <c r="D36" s="1"/>
      <c r="E36" s="1"/>
      <c r="F36" s="1"/>
      <c r="G36" s="1"/>
      <c r="H36" s="1"/>
      <c r="I36" s="1"/>
      <c r="J36" s="1"/>
      <c r="K36" s="1"/>
      <c r="L36" s="1"/>
      <c r="M36" s="1"/>
    </row>
    <row r="37" spans="1:26" ht="13.5" customHeight="1" x14ac:dyDescent="0.3">
      <c r="A37" s="1"/>
      <c r="B37" s="1"/>
      <c r="C37" s="1"/>
      <c r="D37" s="1"/>
      <c r="E37" s="1"/>
      <c r="F37" s="1"/>
      <c r="G37" s="1"/>
      <c r="H37" s="1"/>
      <c r="I37" s="1"/>
      <c r="J37" s="1"/>
      <c r="K37" s="1"/>
      <c r="L37" s="1"/>
      <c r="M37" s="1"/>
    </row>
    <row r="38" spans="1:26" ht="13.5" customHeight="1" x14ac:dyDescent="0.3">
      <c r="A38" s="1"/>
      <c r="B38" s="1"/>
      <c r="C38" s="1"/>
      <c r="D38" s="1"/>
      <c r="E38" s="1"/>
      <c r="F38" s="1"/>
      <c r="G38" s="1"/>
      <c r="H38" s="1"/>
      <c r="I38" s="1"/>
      <c r="J38" s="1"/>
      <c r="K38" s="1"/>
      <c r="L38" s="1"/>
      <c r="M38" s="1"/>
    </row>
    <row r="39" spans="1:26" ht="13.5" customHeight="1" x14ac:dyDescent="0.3">
      <c r="A39" s="1"/>
      <c r="B39" s="1"/>
      <c r="C39" s="1"/>
      <c r="D39" s="1"/>
      <c r="E39" s="1"/>
      <c r="F39" s="1"/>
      <c r="G39" s="1"/>
      <c r="H39" s="1"/>
      <c r="I39" s="1"/>
      <c r="J39" s="1"/>
      <c r="K39" s="1"/>
      <c r="L39" s="1"/>
      <c r="M39" s="1"/>
      <c r="N39" s="1"/>
      <c r="O39" s="1"/>
      <c r="P39" s="1"/>
      <c r="Q39" s="1"/>
      <c r="R39" s="1"/>
      <c r="S39" s="1"/>
      <c r="T39" s="1"/>
    </row>
    <row r="40" spans="1:26" ht="13.5" customHeight="1" x14ac:dyDescent="0.3">
      <c r="A40" s="1"/>
      <c r="B40" s="1"/>
      <c r="C40" s="1"/>
      <c r="D40" s="1"/>
      <c r="E40" s="1"/>
      <c r="F40" s="1"/>
      <c r="G40" s="1"/>
      <c r="H40" s="1"/>
      <c r="I40" s="1"/>
      <c r="J40" s="1"/>
      <c r="K40" s="1"/>
      <c r="L40" s="1"/>
      <c r="M40" s="1"/>
      <c r="N40" s="1"/>
      <c r="O40" s="1"/>
      <c r="P40" s="1"/>
      <c r="Q40" s="1"/>
      <c r="R40" s="1"/>
      <c r="S40" s="1"/>
      <c r="T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H987" s="1"/>
      <c r="I987" s="1"/>
      <c r="J987" s="1"/>
      <c r="K987" s="1"/>
      <c r="L987" s="1"/>
      <c r="M987" s="1"/>
      <c r="N987" s="1"/>
      <c r="O987" s="1"/>
      <c r="P987" s="1"/>
      <c r="Q987" s="1"/>
      <c r="R987" s="1"/>
      <c r="S987" s="1"/>
      <c r="T987" s="1"/>
      <c r="U987" s="1"/>
      <c r="V987" s="1"/>
      <c r="W987" s="1"/>
      <c r="X987" s="1"/>
      <c r="Y987" s="1"/>
      <c r="Z987" s="1"/>
    </row>
    <row r="988" spans="1:26" ht="13.5" customHeight="1" x14ac:dyDescent="0.3">
      <c r="H988" s="1"/>
      <c r="I988" s="1"/>
      <c r="J988" s="1"/>
      <c r="K988" s="1"/>
      <c r="L988" s="1"/>
      <c r="M988" s="1"/>
      <c r="N988" s="1"/>
      <c r="O988" s="1"/>
      <c r="P988" s="1"/>
      <c r="Q988" s="1"/>
      <c r="R988" s="1"/>
      <c r="S988" s="1"/>
      <c r="T988" s="1"/>
      <c r="U988" s="1"/>
      <c r="V988" s="1"/>
      <c r="W988" s="1"/>
      <c r="X988" s="1"/>
      <c r="Y988" s="1"/>
      <c r="Z988" s="1"/>
    </row>
    <row r="989" spans="1:26" ht="13.5" customHeight="1" x14ac:dyDescent="0.3">
      <c r="H989" s="1"/>
      <c r="I989" s="1"/>
      <c r="J989" s="1"/>
      <c r="K989" s="1"/>
      <c r="L989" s="1"/>
      <c r="M989" s="1"/>
      <c r="N989" s="1"/>
      <c r="O989" s="1"/>
      <c r="P989" s="1"/>
      <c r="Q989" s="1"/>
      <c r="R989" s="1"/>
      <c r="S989" s="1"/>
      <c r="T989" s="1"/>
      <c r="U989" s="1"/>
      <c r="V989" s="1"/>
      <c r="W989" s="1"/>
      <c r="X989" s="1"/>
      <c r="Y989" s="1"/>
      <c r="Z989" s="1"/>
    </row>
    <row r="990" spans="1:26" ht="13.5" customHeight="1" x14ac:dyDescent="0.3">
      <c r="H990" s="1"/>
      <c r="I990" s="1"/>
      <c r="J990" s="1"/>
      <c r="K990" s="1"/>
      <c r="L990" s="1"/>
      <c r="M990" s="1"/>
      <c r="N990" s="1"/>
      <c r="O990" s="1"/>
      <c r="P990" s="1"/>
      <c r="Q990" s="1"/>
      <c r="R990" s="1"/>
      <c r="S990" s="1"/>
      <c r="T990" s="1"/>
      <c r="U990" s="1"/>
      <c r="V990" s="1"/>
      <c r="W990" s="1"/>
      <c r="X990" s="1"/>
      <c r="Y990" s="1"/>
      <c r="Z990" s="1"/>
    </row>
    <row r="991" spans="1:26" ht="13.5" customHeight="1" x14ac:dyDescent="0.3">
      <c r="H991" s="1"/>
      <c r="I991" s="1"/>
      <c r="J991" s="1"/>
      <c r="K991" s="1"/>
      <c r="L991" s="1"/>
      <c r="M991" s="1"/>
      <c r="N991" s="1"/>
      <c r="O991" s="1"/>
      <c r="P991" s="1"/>
      <c r="Q991" s="1"/>
      <c r="R991" s="1"/>
      <c r="S991" s="1"/>
      <c r="T991" s="1"/>
      <c r="U991" s="1"/>
      <c r="V991" s="1"/>
      <c r="W991" s="1"/>
      <c r="X991" s="1"/>
      <c r="Y991" s="1"/>
      <c r="Z991" s="1"/>
    </row>
    <row r="992" spans="1:26" ht="13.5" customHeight="1" x14ac:dyDescent="0.3">
      <c r="H992" s="1"/>
      <c r="I992" s="1"/>
      <c r="J992" s="1"/>
      <c r="K992" s="1"/>
      <c r="L992" s="1"/>
      <c r="M992" s="1"/>
      <c r="N992" s="1"/>
      <c r="O992" s="1"/>
      <c r="P992" s="1"/>
      <c r="Q992" s="1"/>
      <c r="R992" s="1"/>
      <c r="S992" s="1"/>
      <c r="T992" s="1"/>
      <c r="U992" s="1"/>
      <c r="V992" s="1"/>
      <c r="W992" s="1"/>
      <c r="X992" s="1"/>
      <c r="Y992" s="1"/>
      <c r="Z992" s="1"/>
    </row>
    <row r="993" spans="8:26" ht="13.5" customHeight="1" x14ac:dyDescent="0.3">
      <c r="H993" s="1"/>
      <c r="I993" s="1"/>
      <c r="J993" s="1"/>
      <c r="K993" s="1"/>
      <c r="L993" s="1"/>
      <c r="M993" s="1"/>
      <c r="N993" s="1"/>
      <c r="O993" s="1"/>
      <c r="P993" s="1"/>
      <c r="Q993" s="1"/>
      <c r="R993" s="1"/>
      <c r="S993" s="1"/>
      <c r="T993" s="1"/>
      <c r="U993" s="1"/>
      <c r="V993" s="1"/>
      <c r="W993" s="1"/>
      <c r="X993" s="1"/>
      <c r="Y993" s="1"/>
      <c r="Z993" s="1"/>
    </row>
    <row r="994" spans="8:26" ht="13.5" customHeight="1" x14ac:dyDescent="0.3">
      <c r="H994" s="1"/>
      <c r="I994" s="1"/>
      <c r="J994" s="1"/>
      <c r="K994" s="1"/>
      <c r="L994" s="1"/>
      <c r="M994" s="1"/>
      <c r="N994" s="1"/>
      <c r="O994" s="1"/>
      <c r="P994" s="1"/>
      <c r="Q994" s="1"/>
      <c r="R994" s="1"/>
      <c r="S994" s="1"/>
      <c r="T994" s="1"/>
      <c r="U994" s="1"/>
      <c r="V994" s="1"/>
      <c r="W994" s="1"/>
      <c r="X994" s="1"/>
      <c r="Y994" s="1"/>
      <c r="Z994" s="1"/>
    </row>
    <row r="995" spans="8:26" ht="13.5" customHeight="1" x14ac:dyDescent="0.3">
      <c r="H995" s="1"/>
      <c r="I995" s="1"/>
      <c r="J995" s="1"/>
      <c r="K995" s="1"/>
      <c r="L995" s="1"/>
      <c r="M995" s="1"/>
      <c r="N995" s="1"/>
      <c r="O995" s="1"/>
      <c r="P995" s="1"/>
      <c r="Q995" s="1"/>
      <c r="R995" s="1"/>
      <c r="S995" s="1"/>
      <c r="T995" s="1"/>
      <c r="U995" s="1"/>
      <c r="V995" s="1"/>
      <c r="W995" s="1"/>
      <c r="X995" s="1"/>
      <c r="Y995" s="1"/>
      <c r="Z995" s="1"/>
    </row>
    <row r="996" spans="8:26" ht="13.5" customHeight="1" x14ac:dyDescent="0.3">
      <c r="H996" s="1"/>
      <c r="I996" s="1"/>
      <c r="J996" s="1"/>
      <c r="K996" s="1"/>
      <c r="L996" s="1"/>
      <c r="M996" s="1"/>
      <c r="N996" s="1"/>
      <c r="O996" s="1"/>
      <c r="P996" s="1"/>
      <c r="Q996" s="1"/>
      <c r="R996" s="1"/>
      <c r="S996" s="1"/>
      <c r="T996" s="1"/>
      <c r="U996" s="1"/>
      <c r="V996" s="1"/>
      <c r="W996" s="1"/>
      <c r="X996" s="1"/>
      <c r="Y996" s="1"/>
      <c r="Z996" s="1"/>
    </row>
    <row r="997" spans="8:26" ht="13.5" customHeight="1" x14ac:dyDescent="0.3">
      <c r="H997" s="1"/>
      <c r="I997" s="1"/>
      <c r="J997" s="1"/>
      <c r="K997" s="1"/>
      <c r="L997" s="1"/>
      <c r="M997" s="1"/>
      <c r="N997" s="1"/>
      <c r="O997" s="1"/>
      <c r="P997" s="1"/>
      <c r="Q997" s="1"/>
      <c r="R997" s="1"/>
      <c r="S997" s="1"/>
      <c r="T997" s="1"/>
      <c r="U997" s="1"/>
      <c r="V997" s="1"/>
      <c r="W997" s="1"/>
      <c r="X997" s="1"/>
      <c r="Y997" s="1"/>
      <c r="Z997" s="1"/>
    </row>
    <row r="998" spans="8:26" ht="13.5" customHeight="1" x14ac:dyDescent="0.3">
      <c r="H998" s="1"/>
      <c r="I998" s="1"/>
      <c r="J998" s="1"/>
      <c r="K998" s="1"/>
      <c r="L998" s="1"/>
      <c r="M998" s="1"/>
      <c r="N998" s="1"/>
      <c r="O998" s="1"/>
      <c r="P998" s="1"/>
      <c r="Q998" s="1"/>
      <c r="R998" s="1"/>
      <c r="S998" s="1"/>
      <c r="T998" s="1"/>
      <c r="U998" s="1"/>
      <c r="V998" s="1"/>
      <c r="W998" s="1"/>
      <c r="X998" s="1"/>
      <c r="Y998" s="1"/>
      <c r="Z998" s="1"/>
    </row>
    <row r="999" spans="8:26" ht="13.5" customHeight="1" x14ac:dyDescent="0.3">
      <c r="H999" s="1"/>
      <c r="I999" s="1"/>
      <c r="J999" s="1"/>
      <c r="K999" s="1"/>
      <c r="L999" s="1"/>
      <c r="M999" s="1"/>
      <c r="N999" s="1"/>
      <c r="O999" s="1"/>
      <c r="P999" s="1"/>
      <c r="Q999" s="1"/>
      <c r="R999" s="1"/>
      <c r="S999" s="1"/>
      <c r="T999" s="1"/>
      <c r="U999" s="1"/>
      <c r="V999" s="1"/>
      <c r="W999" s="1"/>
      <c r="X999" s="1"/>
      <c r="Y999" s="1"/>
      <c r="Z999" s="1"/>
    </row>
    <row r="1000" spans="8:26" ht="13.5" customHeight="1" x14ac:dyDescent="0.3">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CC2E5"/>
    <pageSetUpPr fitToPage="1"/>
  </sheetPr>
  <dimension ref="A1:Z1023"/>
  <sheetViews>
    <sheetView showGridLines="0" tabSelected="1" zoomScale="70" zoomScaleNormal="70" workbookViewId="0">
      <pane xSplit="4" ySplit="7" topLeftCell="F66" activePane="bottomRight" state="frozen"/>
      <selection pane="topRight" activeCell="E1" sqref="E1"/>
      <selection pane="bottomLeft" activeCell="A8" sqref="A8"/>
      <selection pane="bottomRight" activeCell="G68" sqref="G68"/>
    </sheetView>
  </sheetViews>
  <sheetFormatPr defaultColWidth="14.44140625" defaultRowHeight="15" customHeight="1" x14ac:dyDescent="0.3"/>
  <cols>
    <col min="1" max="1" width="3.109375" customWidth="1"/>
    <col min="2" max="2" width="11.6640625" customWidth="1"/>
    <col min="3" max="3" width="41.44140625" customWidth="1"/>
    <col min="4" max="4" width="27" customWidth="1"/>
    <col min="5" max="5" width="61.5546875" customWidth="1"/>
    <col min="6" max="6" width="71" customWidth="1"/>
    <col min="7" max="7" width="107" customWidth="1"/>
    <col min="8" max="8" width="4" hidden="1" customWidth="1"/>
    <col min="9" max="9" width="13.6640625" customWidth="1"/>
    <col min="10" max="10" width="11.33203125" hidden="1" customWidth="1"/>
    <col min="11" max="11" width="5.33203125" hidden="1" customWidth="1"/>
    <col min="12" max="12" width="5.88671875" hidden="1" customWidth="1"/>
    <col min="13" max="13" width="16.44140625" customWidth="1"/>
    <col min="14" max="14" width="19.21875" customWidth="1"/>
    <col min="15" max="15" width="14.33203125" hidden="1" customWidth="1"/>
    <col min="16" max="16" width="12" hidden="1" customWidth="1"/>
    <col min="17" max="17" width="8.6640625" hidden="1" customWidth="1"/>
    <col min="18" max="18" width="11" customWidth="1"/>
    <col min="19" max="26" width="8.6640625" customWidth="1"/>
  </cols>
  <sheetData>
    <row r="1" spans="1:26" ht="13.2" customHeight="1" x14ac:dyDescent="0.3">
      <c r="E1" s="12"/>
      <c r="F1" s="12"/>
      <c r="G1" s="13"/>
      <c r="H1" s="12"/>
    </row>
    <row r="2" spans="1:26" ht="13.2" customHeight="1" x14ac:dyDescent="0.3">
      <c r="E2" s="12"/>
      <c r="F2" s="12"/>
      <c r="G2" s="13"/>
      <c r="H2" s="12"/>
    </row>
    <row r="3" spans="1:26" ht="13.2" customHeight="1" x14ac:dyDescent="0.3">
      <c r="E3" s="12"/>
      <c r="F3" s="12"/>
      <c r="G3" s="13"/>
      <c r="H3" s="12"/>
      <c r="M3" s="210"/>
    </row>
    <row r="4" spans="1:26" ht="13.2" customHeight="1" x14ac:dyDescent="0.3">
      <c r="E4" s="12"/>
      <c r="F4" s="12"/>
      <c r="G4" s="13"/>
      <c r="H4" s="12"/>
      <c r="J4" s="211"/>
      <c r="M4" s="202"/>
    </row>
    <row r="5" spans="1:26" ht="27.6" customHeight="1" x14ac:dyDescent="0.4">
      <c r="B5" s="15" t="s">
        <v>19</v>
      </c>
      <c r="E5" s="12"/>
      <c r="F5" s="12"/>
      <c r="G5" s="13"/>
      <c r="H5" s="12"/>
      <c r="J5" s="202"/>
      <c r="M5" s="202"/>
      <c r="O5" s="211"/>
    </row>
    <row r="6" spans="1:26" ht="13.2" customHeight="1" x14ac:dyDescent="0.3">
      <c r="E6" s="12"/>
      <c r="F6" s="12"/>
      <c r="G6" s="13"/>
      <c r="H6" s="12"/>
      <c r="J6" s="203"/>
      <c r="M6" s="203"/>
      <c r="O6" s="203"/>
    </row>
    <row r="7" spans="1:26" ht="41.25" customHeight="1" x14ac:dyDescent="0.3">
      <c r="A7" s="1"/>
      <c r="B7" s="199" t="s">
        <v>20</v>
      </c>
      <c r="C7" s="16" t="s">
        <v>21</v>
      </c>
      <c r="D7" s="16" t="s">
        <v>22</v>
      </c>
      <c r="E7" s="16" t="s">
        <v>23</v>
      </c>
      <c r="F7" s="16" t="s">
        <v>24</v>
      </c>
      <c r="G7" s="17" t="s">
        <v>25</v>
      </c>
      <c r="H7" s="16" t="s">
        <v>8</v>
      </c>
      <c r="I7" s="16" t="s">
        <v>26</v>
      </c>
      <c r="J7" s="16" t="s">
        <v>5</v>
      </c>
      <c r="K7" s="18" t="s">
        <v>27</v>
      </c>
      <c r="L7" s="18" t="s">
        <v>28</v>
      </c>
      <c r="M7" s="19" t="s">
        <v>29</v>
      </c>
      <c r="N7" s="200" t="s">
        <v>30</v>
      </c>
      <c r="O7" s="19" t="s">
        <v>31</v>
      </c>
      <c r="P7" s="19" t="s">
        <v>32</v>
      </c>
      <c r="Q7" s="19" t="s">
        <v>5</v>
      </c>
      <c r="R7" s="19" t="s">
        <v>8</v>
      </c>
      <c r="S7" s="1"/>
      <c r="T7" s="1"/>
      <c r="U7" s="1"/>
      <c r="V7" s="1"/>
      <c r="W7" s="1"/>
      <c r="X7" s="1"/>
      <c r="Y7" s="1"/>
      <c r="Z7" s="1"/>
    </row>
    <row r="8" spans="1:26" s="158" customFormat="1" ht="141.6" customHeight="1" x14ac:dyDescent="0.3">
      <c r="B8" s="169" t="s">
        <v>33</v>
      </c>
      <c r="C8" s="168" t="s">
        <v>34</v>
      </c>
      <c r="D8" s="168" t="s">
        <v>428</v>
      </c>
      <c r="E8" s="159" t="s">
        <v>35</v>
      </c>
      <c r="F8" s="159" t="s">
        <v>429</v>
      </c>
      <c r="G8" s="160" t="s">
        <v>432</v>
      </c>
      <c r="H8" s="159"/>
      <c r="I8" s="168">
        <v>1</v>
      </c>
      <c r="J8" s="168"/>
      <c r="K8" s="168"/>
      <c r="L8" s="168"/>
      <c r="M8" s="168">
        <v>1</v>
      </c>
      <c r="N8" s="169">
        <v>20</v>
      </c>
      <c r="O8" s="159"/>
      <c r="P8" s="159"/>
      <c r="Q8" s="159"/>
      <c r="R8" s="159"/>
    </row>
    <row r="9" spans="1:26" s="158" customFormat="1" ht="141.6" customHeight="1" x14ac:dyDescent="0.3">
      <c r="B9" s="169" t="s">
        <v>36</v>
      </c>
      <c r="C9" s="168" t="s">
        <v>37</v>
      </c>
      <c r="D9" s="168" t="s">
        <v>428</v>
      </c>
      <c r="E9" s="159" t="s">
        <v>38</v>
      </c>
      <c r="F9" s="159" t="s">
        <v>430</v>
      </c>
      <c r="G9" s="160" t="s">
        <v>431</v>
      </c>
      <c r="H9" s="159"/>
      <c r="I9" s="168">
        <v>1</v>
      </c>
      <c r="J9" s="168"/>
      <c r="K9" s="168"/>
      <c r="L9" s="168"/>
      <c r="M9" s="168">
        <v>1</v>
      </c>
      <c r="N9" s="169">
        <v>20</v>
      </c>
      <c r="O9" s="159"/>
      <c r="P9" s="159"/>
      <c r="Q9" s="159"/>
      <c r="R9" s="159"/>
    </row>
    <row r="10" spans="1:26" s="158" customFormat="1" ht="141.6" customHeight="1" x14ac:dyDescent="0.3">
      <c r="B10" s="169" t="s">
        <v>39</v>
      </c>
      <c r="C10" s="168" t="s">
        <v>41</v>
      </c>
      <c r="D10" s="168" t="s">
        <v>428</v>
      </c>
      <c r="E10" s="159" t="s">
        <v>42</v>
      </c>
      <c r="F10" s="159" t="s">
        <v>433</v>
      </c>
      <c r="G10" s="160" t="s">
        <v>434</v>
      </c>
      <c r="H10" s="159"/>
      <c r="I10" s="168">
        <v>2</v>
      </c>
      <c r="J10" s="168"/>
      <c r="K10" s="168"/>
      <c r="L10" s="168"/>
      <c r="M10" s="168">
        <v>1</v>
      </c>
      <c r="N10" s="169">
        <v>5</v>
      </c>
      <c r="O10" s="159"/>
      <c r="P10" s="159"/>
      <c r="Q10" s="159"/>
      <c r="R10" s="159"/>
    </row>
    <row r="11" spans="1:26" s="158" customFormat="1" ht="141.6" customHeight="1" x14ac:dyDescent="0.3">
      <c r="B11" s="169" t="s">
        <v>40</v>
      </c>
      <c r="C11" s="168" t="s">
        <v>44</v>
      </c>
      <c r="D11" s="168" t="s">
        <v>452</v>
      </c>
      <c r="E11" s="159" t="s">
        <v>45</v>
      </c>
      <c r="F11" s="159" t="s">
        <v>435</v>
      </c>
      <c r="G11" s="160" t="s">
        <v>436</v>
      </c>
      <c r="H11" s="159"/>
      <c r="I11" s="168">
        <v>2</v>
      </c>
      <c r="J11" s="168"/>
      <c r="K11" s="168"/>
      <c r="L11" s="168"/>
      <c r="M11" s="168">
        <v>1</v>
      </c>
      <c r="N11" s="169">
        <v>10</v>
      </c>
      <c r="O11" s="159"/>
      <c r="P11" s="159"/>
      <c r="Q11" s="159"/>
      <c r="R11" s="159"/>
    </row>
    <row r="12" spans="1:26" s="158" customFormat="1" ht="141.6" customHeight="1" x14ac:dyDescent="0.3">
      <c r="B12" s="169" t="s">
        <v>43</v>
      </c>
      <c r="C12" s="168" t="s">
        <v>378</v>
      </c>
      <c r="D12" s="168" t="s">
        <v>453</v>
      </c>
      <c r="E12" s="159" t="s">
        <v>438</v>
      </c>
      <c r="F12" s="159" t="s">
        <v>439</v>
      </c>
      <c r="G12" s="160" t="s">
        <v>440</v>
      </c>
      <c r="H12" s="159"/>
      <c r="I12" s="168">
        <v>2</v>
      </c>
      <c r="J12" s="168"/>
      <c r="K12" s="168"/>
      <c r="L12" s="168"/>
      <c r="M12" s="168">
        <v>1</v>
      </c>
      <c r="N12" s="169">
        <v>20</v>
      </c>
      <c r="O12" s="159"/>
      <c r="P12" s="159"/>
      <c r="Q12" s="159"/>
      <c r="R12" s="159"/>
    </row>
    <row r="13" spans="1:26" s="158" customFormat="1" ht="141.6" customHeight="1" x14ac:dyDescent="0.3">
      <c r="B13" s="169" t="s">
        <v>46</v>
      </c>
      <c r="C13" s="168" t="s">
        <v>379</v>
      </c>
      <c r="D13" s="168" t="s">
        <v>454</v>
      </c>
      <c r="E13" s="159" t="s">
        <v>438</v>
      </c>
      <c r="F13" s="159" t="s">
        <v>439</v>
      </c>
      <c r="G13" s="160" t="s">
        <v>441</v>
      </c>
      <c r="H13" s="159"/>
      <c r="I13" s="168">
        <v>2</v>
      </c>
      <c r="J13" s="168"/>
      <c r="K13" s="168"/>
      <c r="L13" s="168"/>
      <c r="M13" s="168">
        <v>1</v>
      </c>
      <c r="N13" s="169">
        <v>20</v>
      </c>
      <c r="O13" s="159"/>
      <c r="P13" s="159"/>
      <c r="Q13" s="159"/>
      <c r="R13" s="159"/>
    </row>
    <row r="14" spans="1:26" s="158" customFormat="1" ht="141.6" customHeight="1" x14ac:dyDescent="0.3">
      <c r="B14" s="169" t="s">
        <v>47</v>
      </c>
      <c r="C14" s="168" t="s">
        <v>380</v>
      </c>
      <c r="D14" s="168" t="s">
        <v>455</v>
      </c>
      <c r="E14" s="159" t="s">
        <v>438</v>
      </c>
      <c r="F14" s="159" t="s">
        <v>439</v>
      </c>
      <c r="G14" s="160" t="s">
        <v>442</v>
      </c>
      <c r="H14" s="159"/>
      <c r="I14" s="168">
        <v>2</v>
      </c>
      <c r="J14" s="168"/>
      <c r="K14" s="168"/>
      <c r="L14" s="168"/>
      <c r="M14" s="168">
        <v>1</v>
      </c>
      <c r="N14" s="169">
        <v>20</v>
      </c>
      <c r="O14" s="159"/>
      <c r="P14" s="159"/>
      <c r="Q14" s="159"/>
      <c r="R14" s="159"/>
    </row>
    <row r="15" spans="1:26" s="158" customFormat="1" ht="141.6" customHeight="1" x14ac:dyDescent="0.3">
      <c r="B15" s="169" t="s">
        <v>48</v>
      </c>
      <c r="C15" s="168" t="s">
        <v>381</v>
      </c>
      <c r="D15" s="168" t="s">
        <v>456</v>
      </c>
      <c r="E15" s="159" t="s">
        <v>438</v>
      </c>
      <c r="F15" s="159" t="s">
        <v>439</v>
      </c>
      <c r="G15" s="160" t="s">
        <v>443</v>
      </c>
      <c r="H15" s="159"/>
      <c r="I15" s="168">
        <v>2</v>
      </c>
      <c r="J15" s="168"/>
      <c r="K15" s="168"/>
      <c r="L15" s="168"/>
      <c r="M15" s="168">
        <v>1</v>
      </c>
      <c r="N15" s="169">
        <v>20</v>
      </c>
      <c r="O15" s="159"/>
      <c r="P15" s="159"/>
      <c r="Q15" s="159"/>
      <c r="R15" s="159"/>
    </row>
    <row r="16" spans="1:26" s="158" customFormat="1" ht="141.6" customHeight="1" x14ac:dyDescent="0.3">
      <c r="B16" s="169" t="s">
        <v>49</v>
      </c>
      <c r="C16" s="168" t="s">
        <v>382</v>
      </c>
      <c r="D16" s="168" t="s">
        <v>457</v>
      </c>
      <c r="E16" s="159" t="s">
        <v>438</v>
      </c>
      <c r="F16" s="159" t="s">
        <v>439</v>
      </c>
      <c r="G16" s="160" t="s">
        <v>444</v>
      </c>
      <c r="H16" s="159"/>
      <c r="I16" s="168">
        <v>2</v>
      </c>
      <c r="J16" s="168"/>
      <c r="K16" s="168"/>
      <c r="L16" s="168"/>
      <c r="M16" s="168">
        <v>1</v>
      </c>
      <c r="N16" s="169">
        <v>20</v>
      </c>
      <c r="O16" s="159"/>
      <c r="P16" s="159"/>
      <c r="Q16" s="159"/>
      <c r="R16" s="159"/>
    </row>
    <row r="17" spans="2:18" s="158" customFormat="1" ht="141.6" customHeight="1" x14ac:dyDescent="0.3">
      <c r="B17" s="169" t="s">
        <v>51</v>
      </c>
      <c r="C17" s="168" t="s">
        <v>383</v>
      </c>
      <c r="D17" s="168" t="s">
        <v>458</v>
      </c>
      <c r="E17" s="159" t="s">
        <v>438</v>
      </c>
      <c r="F17" s="159" t="s">
        <v>439</v>
      </c>
      <c r="G17" s="160" t="s">
        <v>445</v>
      </c>
      <c r="H17" s="159"/>
      <c r="I17" s="168">
        <v>2</v>
      </c>
      <c r="J17" s="168"/>
      <c r="K17" s="168"/>
      <c r="L17" s="168"/>
      <c r="M17" s="168">
        <v>1</v>
      </c>
      <c r="N17" s="169">
        <v>20</v>
      </c>
      <c r="O17" s="159"/>
      <c r="P17" s="159"/>
      <c r="Q17" s="159"/>
      <c r="R17" s="159"/>
    </row>
    <row r="18" spans="2:18" s="158" customFormat="1" ht="141.6" customHeight="1" x14ac:dyDescent="0.3">
      <c r="B18" s="169" t="s">
        <v>52</v>
      </c>
      <c r="C18" s="169" t="s">
        <v>50</v>
      </c>
      <c r="D18" s="168" t="s">
        <v>453</v>
      </c>
      <c r="E18" s="159" t="s">
        <v>446</v>
      </c>
      <c r="F18" s="159" t="s">
        <v>447</v>
      </c>
      <c r="G18" s="160" t="s">
        <v>448</v>
      </c>
      <c r="H18" s="159"/>
      <c r="I18" s="168">
        <v>3</v>
      </c>
      <c r="J18" s="168"/>
      <c r="K18" s="168"/>
      <c r="L18" s="168"/>
      <c r="M18" s="168">
        <v>1</v>
      </c>
      <c r="N18" s="169">
        <v>15</v>
      </c>
      <c r="O18" s="159"/>
      <c r="P18" s="159"/>
      <c r="Q18" s="159"/>
      <c r="R18" s="159"/>
    </row>
    <row r="19" spans="2:18" s="158" customFormat="1" ht="141.6" customHeight="1" x14ac:dyDescent="0.3">
      <c r="B19" s="169" t="s">
        <v>53</v>
      </c>
      <c r="C19" s="169" t="s">
        <v>384</v>
      </c>
      <c r="D19" s="168" t="s">
        <v>454</v>
      </c>
      <c r="E19" s="159" t="s">
        <v>446</v>
      </c>
      <c r="F19" s="159" t="s">
        <v>447</v>
      </c>
      <c r="G19" s="160" t="s">
        <v>448</v>
      </c>
      <c r="H19" s="159"/>
      <c r="I19" s="168">
        <v>3</v>
      </c>
      <c r="J19" s="168"/>
      <c r="K19" s="168"/>
      <c r="L19" s="168"/>
      <c r="M19" s="168">
        <v>1</v>
      </c>
      <c r="N19" s="169">
        <v>15</v>
      </c>
      <c r="O19" s="159"/>
      <c r="P19" s="159"/>
      <c r="Q19" s="159"/>
      <c r="R19" s="159"/>
    </row>
    <row r="20" spans="2:18" s="158" customFormat="1" ht="141.6" customHeight="1" x14ac:dyDescent="0.3">
      <c r="B20" s="169" t="s">
        <v>54</v>
      </c>
      <c r="C20" s="169" t="s">
        <v>385</v>
      </c>
      <c r="D20" s="168" t="s">
        <v>455</v>
      </c>
      <c r="E20" s="159" t="s">
        <v>446</v>
      </c>
      <c r="F20" s="159" t="s">
        <v>447</v>
      </c>
      <c r="G20" s="160" t="s">
        <v>448</v>
      </c>
      <c r="H20" s="159"/>
      <c r="I20" s="168">
        <v>3</v>
      </c>
      <c r="J20" s="168"/>
      <c r="K20" s="168"/>
      <c r="L20" s="168"/>
      <c r="M20" s="168">
        <v>1</v>
      </c>
      <c r="N20" s="169">
        <v>15</v>
      </c>
      <c r="O20" s="159"/>
      <c r="P20" s="159"/>
      <c r="Q20" s="159"/>
      <c r="R20" s="159"/>
    </row>
    <row r="21" spans="2:18" s="158" customFormat="1" ht="141.6" customHeight="1" x14ac:dyDescent="0.3">
      <c r="B21" s="169" t="s">
        <v>55</v>
      </c>
      <c r="C21" s="169" t="s">
        <v>386</v>
      </c>
      <c r="D21" s="168" t="s">
        <v>456</v>
      </c>
      <c r="E21" s="159" t="s">
        <v>446</v>
      </c>
      <c r="F21" s="159" t="s">
        <v>447</v>
      </c>
      <c r="G21" s="160" t="s">
        <v>448</v>
      </c>
      <c r="H21" s="159"/>
      <c r="I21" s="168">
        <v>3</v>
      </c>
      <c r="J21" s="168"/>
      <c r="K21" s="168"/>
      <c r="L21" s="168"/>
      <c r="M21" s="168">
        <v>1</v>
      </c>
      <c r="N21" s="169">
        <v>15</v>
      </c>
      <c r="O21" s="159"/>
      <c r="P21" s="159"/>
      <c r="Q21" s="159"/>
      <c r="R21" s="159"/>
    </row>
    <row r="22" spans="2:18" s="158" customFormat="1" ht="141.6" customHeight="1" x14ac:dyDescent="0.3">
      <c r="B22" s="169" t="s">
        <v>56</v>
      </c>
      <c r="C22" s="169" t="s">
        <v>387</v>
      </c>
      <c r="D22" s="168" t="s">
        <v>457</v>
      </c>
      <c r="E22" s="159" t="s">
        <v>446</v>
      </c>
      <c r="F22" s="159" t="s">
        <v>447</v>
      </c>
      <c r="G22" s="160" t="s">
        <v>448</v>
      </c>
      <c r="H22" s="159"/>
      <c r="I22" s="168">
        <v>3</v>
      </c>
      <c r="J22" s="168"/>
      <c r="K22" s="168"/>
      <c r="L22" s="168"/>
      <c r="M22" s="168">
        <v>1</v>
      </c>
      <c r="N22" s="169">
        <v>15</v>
      </c>
      <c r="O22" s="159"/>
      <c r="P22" s="159"/>
      <c r="Q22" s="159"/>
      <c r="R22" s="159"/>
    </row>
    <row r="23" spans="2:18" s="158" customFormat="1" ht="141.6" customHeight="1" x14ac:dyDescent="0.3">
      <c r="B23" s="169" t="s">
        <v>57</v>
      </c>
      <c r="C23" s="169" t="s">
        <v>388</v>
      </c>
      <c r="D23" s="168" t="s">
        <v>458</v>
      </c>
      <c r="E23" s="159" t="s">
        <v>446</v>
      </c>
      <c r="F23" s="159" t="s">
        <v>447</v>
      </c>
      <c r="G23" s="160" t="s">
        <v>448</v>
      </c>
      <c r="H23" s="159"/>
      <c r="I23" s="168">
        <v>3</v>
      </c>
      <c r="J23" s="168"/>
      <c r="K23" s="168"/>
      <c r="L23" s="168"/>
      <c r="M23" s="168">
        <v>1</v>
      </c>
      <c r="N23" s="169">
        <v>15</v>
      </c>
      <c r="O23" s="159"/>
      <c r="P23" s="159"/>
      <c r="Q23" s="159"/>
      <c r="R23" s="159"/>
    </row>
    <row r="24" spans="2:18" s="158" customFormat="1" ht="141.6" customHeight="1" x14ac:dyDescent="0.3">
      <c r="B24" s="169" t="s">
        <v>58</v>
      </c>
      <c r="C24" s="189" t="s">
        <v>718</v>
      </c>
      <c r="D24" s="168" t="s">
        <v>453</v>
      </c>
      <c r="E24" s="159" t="s">
        <v>724</v>
      </c>
      <c r="F24" s="159" t="s">
        <v>725</v>
      </c>
      <c r="G24" s="160" t="s">
        <v>726</v>
      </c>
      <c r="H24" s="159"/>
      <c r="I24" s="168">
        <v>3</v>
      </c>
      <c r="J24" s="168"/>
      <c r="K24" s="168"/>
      <c r="L24" s="168"/>
      <c r="M24" s="168">
        <v>1</v>
      </c>
      <c r="N24" s="169">
        <v>10</v>
      </c>
      <c r="O24" s="159"/>
      <c r="P24" s="159"/>
      <c r="Q24" s="159"/>
      <c r="R24" s="159"/>
    </row>
    <row r="25" spans="2:18" s="158" customFormat="1" ht="141.6" customHeight="1" x14ac:dyDescent="0.3">
      <c r="B25" s="169" t="s">
        <v>59</v>
      </c>
      <c r="C25" s="189" t="s">
        <v>719</v>
      </c>
      <c r="D25" s="168" t="s">
        <v>454</v>
      </c>
      <c r="E25" s="159" t="s">
        <v>724</v>
      </c>
      <c r="F25" s="159" t="s">
        <v>725</v>
      </c>
      <c r="G25" s="160" t="s">
        <v>726</v>
      </c>
      <c r="H25" s="159"/>
      <c r="I25" s="168">
        <v>3</v>
      </c>
      <c r="J25" s="168"/>
      <c r="K25" s="168"/>
      <c r="L25" s="168"/>
      <c r="M25" s="168">
        <v>1</v>
      </c>
      <c r="N25" s="169">
        <v>10</v>
      </c>
      <c r="O25" s="159"/>
      <c r="P25" s="159"/>
      <c r="Q25" s="159"/>
      <c r="R25" s="159"/>
    </row>
    <row r="26" spans="2:18" s="158" customFormat="1" ht="141.6" customHeight="1" x14ac:dyDescent="0.3">
      <c r="B26" s="169" t="s">
        <v>60</v>
      </c>
      <c r="C26" s="189" t="s">
        <v>720</v>
      </c>
      <c r="D26" s="168" t="s">
        <v>455</v>
      </c>
      <c r="E26" s="159" t="s">
        <v>724</v>
      </c>
      <c r="F26" s="159" t="s">
        <v>725</v>
      </c>
      <c r="G26" s="160" t="s">
        <v>726</v>
      </c>
      <c r="H26" s="159"/>
      <c r="I26" s="168">
        <v>3</v>
      </c>
      <c r="J26" s="168"/>
      <c r="K26" s="168"/>
      <c r="L26" s="168"/>
      <c r="M26" s="168">
        <v>1</v>
      </c>
      <c r="N26" s="169">
        <v>10</v>
      </c>
      <c r="O26" s="159"/>
      <c r="P26" s="159"/>
      <c r="Q26" s="159"/>
      <c r="R26" s="159"/>
    </row>
    <row r="27" spans="2:18" s="158" customFormat="1" ht="141.6" customHeight="1" x14ac:dyDescent="0.3">
      <c r="B27" s="169" t="s">
        <v>61</v>
      </c>
      <c r="C27" s="189" t="s">
        <v>721</v>
      </c>
      <c r="D27" s="168" t="s">
        <v>456</v>
      </c>
      <c r="E27" s="159" t="s">
        <v>724</v>
      </c>
      <c r="F27" s="159" t="s">
        <v>725</v>
      </c>
      <c r="G27" s="160" t="s">
        <v>726</v>
      </c>
      <c r="H27" s="159"/>
      <c r="I27" s="168">
        <v>3</v>
      </c>
      <c r="J27" s="168"/>
      <c r="K27" s="168"/>
      <c r="L27" s="168"/>
      <c r="M27" s="168">
        <v>1</v>
      </c>
      <c r="N27" s="169">
        <v>10</v>
      </c>
      <c r="O27" s="159"/>
      <c r="P27" s="159"/>
      <c r="Q27" s="159"/>
      <c r="R27" s="159"/>
    </row>
    <row r="28" spans="2:18" s="158" customFormat="1" ht="141.6" customHeight="1" x14ac:dyDescent="0.3">
      <c r="B28" s="169" t="s">
        <v>63</v>
      </c>
      <c r="C28" s="189" t="s">
        <v>722</v>
      </c>
      <c r="D28" s="168" t="s">
        <v>458</v>
      </c>
      <c r="E28" s="159" t="s">
        <v>724</v>
      </c>
      <c r="F28" s="159" t="s">
        <v>725</v>
      </c>
      <c r="G28" s="160" t="s">
        <v>726</v>
      </c>
      <c r="H28" s="159"/>
      <c r="I28" s="168">
        <v>3</v>
      </c>
      <c r="J28" s="168"/>
      <c r="K28" s="168"/>
      <c r="L28" s="168"/>
      <c r="M28" s="168">
        <v>1</v>
      </c>
      <c r="N28" s="169">
        <v>10</v>
      </c>
      <c r="O28" s="159"/>
      <c r="P28" s="159"/>
      <c r="Q28" s="159"/>
      <c r="R28" s="159"/>
    </row>
    <row r="29" spans="2:18" s="158" customFormat="1" ht="141.6" customHeight="1" x14ac:dyDescent="0.3">
      <c r="B29" s="169" t="s">
        <v>65</v>
      </c>
      <c r="C29" s="189" t="s">
        <v>723</v>
      </c>
      <c r="D29" s="168" t="s">
        <v>457</v>
      </c>
      <c r="E29" s="159" t="s">
        <v>724</v>
      </c>
      <c r="F29" s="159" t="s">
        <v>725</v>
      </c>
      <c r="G29" s="160" t="s">
        <v>727</v>
      </c>
      <c r="H29" s="159"/>
      <c r="I29" s="168">
        <v>3</v>
      </c>
      <c r="J29" s="168"/>
      <c r="K29" s="168"/>
      <c r="L29" s="168"/>
      <c r="M29" s="168">
        <v>1</v>
      </c>
      <c r="N29" s="169">
        <v>10</v>
      </c>
      <c r="O29" s="159"/>
      <c r="P29" s="159"/>
      <c r="Q29" s="159"/>
      <c r="R29" s="159"/>
    </row>
    <row r="30" spans="2:18" s="158" customFormat="1" ht="141.6" customHeight="1" x14ac:dyDescent="0.3">
      <c r="B30" s="169" t="s">
        <v>68</v>
      </c>
      <c r="C30" s="168" t="s">
        <v>102</v>
      </c>
      <c r="D30" s="168" t="s">
        <v>452</v>
      </c>
      <c r="E30" s="159" t="s">
        <v>449</v>
      </c>
      <c r="F30" s="159" t="s">
        <v>450</v>
      </c>
      <c r="G30" s="160" t="s">
        <v>451</v>
      </c>
      <c r="H30" s="159"/>
      <c r="I30" s="168">
        <v>2</v>
      </c>
      <c r="J30" s="168"/>
      <c r="K30" s="168"/>
      <c r="L30" s="168"/>
      <c r="M30" s="168">
        <v>1</v>
      </c>
      <c r="N30" s="169">
        <v>20</v>
      </c>
      <c r="O30" s="159"/>
      <c r="P30" s="159"/>
      <c r="Q30" s="159"/>
      <c r="R30" s="159"/>
    </row>
    <row r="31" spans="2:18" ht="39" customHeight="1" x14ac:dyDescent="0.3">
      <c r="B31" s="161"/>
      <c r="C31" s="161"/>
      <c r="D31" s="162"/>
      <c r="E31" s="159"/>
      <c r="F31" s="171"/>
      <c r="G31" s="170"/>
      <c r="H31" s="163"/>
      <c r="I31" s="162"/>
      <c r="J31" s="164"/>
      <c r="K31" s="164"/>
      <c r="L31" s="164"/>
      <c r="M31" s="162"/>
      <c r="N31" s="161"/>
      <c r="O31" s="164"/>
      <c r="P31" s="164"/>
      <c r="Q31" s="164"/>
      <c r="R31" s="163"/>
    </row>
    <row r="32" spans="2:18" ht="141.6" customHeight="1" x14ac:dyDescent="0.3">
      <c r="B32" s="169" t="s">
        <v>71</v>
      </c>
      <c r="C32" s="169" t="s">
        <v>389</v>
      </c>
      <c r="D32" s="168" t="s">
        <v>453</v>
      </c>
      <c r="E32" s="171" t="s">
        <v>459</v>
      </c>
      <c r="F32" s="159" t="s">
        <v>460</v>
      </c>
      <c r="G32" s="160" t="s">
        <v>461</v>
      </c>
      <c r="H32" s="163"/>
      <c r="I32" s="162">
        <v>1</v>
      </c>
      <c r="J32" s="164"/>
      <c r="K32" s="164"/>
      <c r="L32" s="164"/>
      <c r="M32" s="162">
        <v>2</v>
      </c>
      <c r="N32" s="161">
        <v>25</v>
      </c>
      <c r="O32" s="164"/>
      <c r="P32" s="164"/>
      <c r="Q32" s="164"/>
      <c r="R32" s="163"/>
    </row>
    <row r="33" spans="2:18" ht="141.6" customHeight="1" x14ac:dyDescent="0.3">
      <c r="B33" s="169" t="s">
        <v>73</v>
      </c>
      <c r="C33" s="169" t="s">
        <v>393</v>
      </c>
      <c r="D33" s="168" t="s">
        <v>453</v>
      </c>
      <c r="E33" s="159" t="s">
        <v>462</v>
      </c>
      <c r="F33" s="159" t="s">
        <v>463</v>
      </c>
      <c r="G33" s="160" t="s">
        <v>464</v>
      </c>
      <c r="H33" s="163"/>
      <c r="I33" s="162">
        <v>1</v>
      </c>
      <c r="J33" s="164"/>
      <c r="K33" s="164"/>
      <c r="L33" s="164"/>
      <c r="M33" s="162">
        <v>2</v>
      </c>
      <c r="N33" s="161">
        <v>25</v>
      </c>
      <c r="O33" s="164"/>
      <c r="P33" s="164"/>
      <c r="Q33" s="164"/>
      <c r="R33" s="163"/>
    </row>
    <row r="34" spans="2:18" ht="141.6" customHeight="1" x14ac:dyDescent="0.3">
      <c r="B34" s="169" t="s">
        <v>74</v>
      </c>
      <c r="C34" s="169" t="s">
        <v>394</v>
      </c>
      <c r="D34" s="168" t="s">
        <v>453</v>
      </c>
      <c r="E34" s="159" t="s">
        <v>465</v>
      </c>
      <c r="F34" s="171" t="s">
        <v>466</v>
      </c>
      <c r="G34" s="160" t="s">
        <v>467</v>
      </c>
      <c r="H34" s="163"/>
      <c r="I34" s="162">
        <v>1</v>
      </c>
      <c r="J34" s="164"/>
      <c r="K34" s="164"/>
      <c r="L34" s="164"/>
      <c r="M34" s="162">
        <v>2</v>
      </c>
      <c r="N34" s="161">
        <v>25</v>
      </c>
      <c r="O34" s="164"/>
      <c r="P34" s="164"/>
      <c r="Q34" s="164"/>
      <c r="R34" s="163"/>
    </row>
    <row r="35" spans="2:18" ht="141.6" customHeight="1" x14ac:dyDescent="0.3">
      <c r="B35" s="169" t="s">
        <v>75</v>
      </c>
      <c r="C35" s="169" t="s">
        <v>395</v>
      </c>
      <c r="D35" s="168" t="s">
        <v>453</v>
      </c>
      <c r="E35" s="159" t="s">
        <v>468</v>
      </c>
      <c r="F35" s="159" t="s">
        <v>469</v>
      </c>
      <c r="G35" s="160" t="s">
        <v>470</v>
      </c>
      <c r="H35" s="163"/>
      <c r="I35" s="162">
        <v>1</v>
      </c>
      <c r="J35" s="164"/>
      <c r="K35" s="164"/>
      <c r="L35" s="164"/>
      <c r="M35" s="162">
        <v>2</v>
      </c>
      <c r="N35" s="161">
        <v>25</v>
      </c>
      <c r="O35" s="164"/>
      <c r="P35" s="164"/>
      <c r="Q35" s="164"/>
      <c r="R35" s="163"/>
    </row>
    <row r="36" spans="2:18" ht="141.6" customHeight="1" x14ac:dyDescent="0.3">
      <c r="B36" s="169" t="s">
        <v>78</v>
      </c>
      <c r="C36" s="169" t="s">
        <v>403</v>
      </c>
      <c r="D36" s="168" t="s">
        <v>454</v>
      </c>
      <c r="E36" s="171" t="s">
        <v>472</v>
      </c>
      <c r="F36" s="171" t="s">
        <v>473</v>
      </c>
      <c r="G36" s="160" t="s">
        <v>474</v>
      </c>
      <c r="H36" s="163"/>
      <c r="I36" s="162">
        <v>1</v>
      </c>
      <c r="J36" s="164"/>
      <c r="K36" s="164"/>
      <c r="L36" s="164"/>
      <c r="M36" s="162">
        <v>2</v>
      </c>
      <c r="N36" s="161">
        <v>25</v>
      </c>
      <c r="O36" s="164"/>
      <c r="P36" s="164"/>
      <c r="Q36" s="164"/>
      <c r="R36" s="163"/>
    </row>
    <row r="37" spans="2:18" ht="141.6" customHeight="1" x14ac:dyDescent="0.3">
      <c r="B37" s="169" t="s">
        <v>79</v>
      </c>
      <c r="C37" s="169" t="s">
        <v>404</v>
      </c>
      <c r="D37" s="168" t="s">
        <v>454</v>
      </c>
      <c r="E37" s="159" t="s">
        <v>475</v>
      </c>
      <c r="F37" s="171" t="s">
        <v>476</v>
      </c>
      <c r="G37" s="160" t="s">
        <v>477</v>
      </c>
      <c r="H37" s="163"/>
      <c r="I37" s="162">
        <v>1</v>
      </c>
      <c r="J37" s="164"/>
      <c r="K37" s="164"/>
      <c r="L37" s="164"/>
      <c r="M37" s="162">
        <v>2</v>
      </c>
      <c r="N37" s="161">
        <v>25</v>
      </c>
      <c r="O37" s="164"/>
      <c r="P37" s="164"/>
      <c r="Q37" s="164"/>
      <c r="R37" s="163"/>
    </row>
    <row r="38" spans="2:18" ht="141.6" customHeight="1" x14ac:dyDescent="0.3">
      <c r="B38" s="169" t="s">
        <v>83</v>
      </c>
      <c r="C38" s="161" t="s">
        <v>405</v>
      </c>
      <c r="D38" s="168" t="s">
        <v>454</v>
      </c>
      <c r="E38" s="159" t="s">
        <v>478</v>
      </c>
      <c r="F38" s="159" t="s">
        <v>479</v>
      </c>
      <c r="G38" s="160" t="s">
        <v>480</v>
      </c>
      <c r="H38" s="163"/>
      <c r="I38" s="162">
        <v>1</v>
      </c>
      <c r="J38" s="164"/>
      <c r="K38" s="164"/>
      <c r="L38" s="164"/>
      <c r="M38" s="162">
        <v>2</v>
      </c>
      <c r="N38" s="161">
        <v>20</v>
      </c>
      <c r="O38" s="164"/>
      <c r="P38" s="164"/>
      <c r="Q38" s="164"/>
      <c r="R38" s="163"/>
    </row>
    <row r="39" spans="2:18" ht="141.6" customHeight="1" x14ac:dyDescent="0.3">
      <c r="B39" s="169" t="s">
        <v>87</v>
      </c>
      <c r="C39" s="169" t="s">
        <v>406</v>
      </c>
      <c r="D39" s="168" t="s">
        <v>454</v>
      </c>
      <c r="E39" s="171" t="s">
        <v>481</v>
      </c>
      <c r="F39" s="171" t="s">
        <v>482</v>
      </c>
      <c r="G39" s="160" t="s">
        <v>483</v>
      </c>
      <c r="H39" s="163"/>
      <c r="I39" s="162">
        <v>1</v>
      </c>
      <c r="J39" s="164"/>
      <c r="K39" s="164"/>
      <c r="L39" s="164"/>
      <c r="M39" s="162">
        <v>2</v>
      </c>
      <c r="N39" s="161">
        <v>20</v>
      </c>
      <c r="O39" s="164"/>
      <c r="P39" s="164"/>
      <c r="Q39" s="164"/>
      <c r="R39" s="163"/>
    </row>
    <row r="40" spans="2:18" ht="141.6" customHeight="1" x14ac:dyDescent="0.3">
      <c r="B40" s="169" t="s">
        <v>88</v>
      </c>
      <c r="C40" s="162" t="s">
        <v>401</v>
      </c>
      <c r="D40" s="168" t="s">
        <v>455</v>
      </c>
      <c r="E40" s="171" t="s">
        <v>484</v>
      </c>
      <c r="F40" s="171" t="s">
        <v>485</v>
      </c>
      <c r="G40" s="160" t="s">
        <v>489</v>
      </c>
      <c r="H40" s="163"/>
      <c r="I40" s="162">
        <v>1</v>
      </c>
      <c r="J40" s="164"/>
      <c r="K40" s="164"/>
      <c r="L40" s="164"/>
      <c r="M40" s="162">
        <v>2</v>
      </c>
      <c r="N40" s="161">
        <v>25</v>
      </c>
      <c r="O40" s="164"/>
      <c r="P40" s="164"/>
      <c r="Q40" s="164"/>
      <c r="R40" s="163"/>
    </row>
    <row r="41" spans="2:18" ht="141.6" customHeight="1" x14ac:dyDescent="0.3">
      <c r="B41" s="169" t="s">
        <v>90</v>
      </c>
      <c r="C41" s="161" t="s">
        <v>402</v>
      </c>
      <c r="D41" s="168" t="s">
        <v>455</v>
      </c>
      <c r="E41" s="171" t="s">
        <v>486</v>
      </c>
      <c r="F41" s="171" t="s">
        <v>487</v>
      </c>
      <c r="G41" s="160" t="s">
        <v>488</v>
      </c>
      <c r="H41" s="163"/>
      <c r="I41" s="162">
        <v>1</v>
      </c>
      <c r="J41" s="164"/>
      <c r="K41" s="164"/>
      <c r="L41" s="164"/>
      <c r="M41" s="162">
        <v>2</v>
      </c>
      <c r="N41" s="161">
        <v>25</v>
      </c>
      <c r="O41" s="164"/>
      <c r="P41" s="164"/>
      <c r="Q41" s="164"/>
      <c r="R41" s="163"/>
    </row>
    <row r="42" spans="2:18" ht="141.6" customHeight="1" x14ac:dyDescent="0.3">
      <c r="B42" s="169" t="s">
        <v>93</v>
      </c>
      <c r="C42" s="161" t="s">
        <v>407</v>
      </c>
      <c r="D42" s="168" t="s">
        <v>455</v>
      </c>
      <c r="E42" s="171" t="s">
        <v>490</v>
      </c>
      <c r="F42" s="171" t="s">
        <v>491</v>
      </c>
      <c r="G42" s="160" t="s">
        <v>492</v>
      </c>
      <c r="H42" s="163"/>
      <c r="I42" s="162">
        <v>1</v>
      </c>
      <c r="J42" s="164"/>
      <c r="K42" s="164"/>
      <c r="L42" s="164"/>
      <c r="M42" s="162">
        <v>2</v>
      </c>
      <c r="N42" s="161">
        <v>15</v>
      </c>
      <c r="O42" s="164"/>
      <c r="P42" s="164"/>
      <c r="Q42" s="164"/>
      <c r="R42" s="163"/>
    </row>
    <row r="43" spans="2:18" ht="141.6" customHeight="1" x14ac:dyDescent="0.3">
      <c r="B43" s="169" t="s">
        <v>94</v>
      </c>
      <c r="C43" s="169" t="s">
        <v>496</v>
      </c>
      <c r="D43" s="168" t="s">
        <v>455</v>
      </c>
      <c r="E43" s="171" t="s">
        <v>493</v>
      </c>
      <c r="F43" s="159" t="s">
        <v>494</v>
      </c>
      <c r="G43" s="160" t="s">
        <v>495</v>
      </c>
      <c r="H43" s="163"/>
      <c r="I43" s="162">
        <v>2</v>
      </c>
      <c r="J43" s="164"/>
      <c r="K43" s="164"/>
      <c r="L43" s="164"/>
      <c r="M43" s="162">
        <v>2</v>
      </c>
      <c r="N43" s="161">
        <v>15</v>
      </c>
      <c r="O43" s="164"/>
      <c r="P43" s="164"/>
      <c r="Q43" s="164"/>
      <c r="R43" s="163"/>
    </row>
    <row r="44" spans="2:18" ht="141.6" customHeight="1" x14ac:dyDescent="0.3">
      <c r="B44" s="169" t="s">
        <v>95</v>
      </c>
      <c r="C44" s="161" t="s">
        <v>497</v>
      </c>
      <c r="D44" s="168" t="s">
        <v>455</v>
      </c>
      <c r="E44" s="171" t="s">
        <v>498</v>
      </c>
      <c r="F44" s="171" t="s">
        <v>499</v>
      </c>
      <c r="G44" s="160" t="s">
        <v>500</v>
      </c>
      <c r="H44" s="163"/>
      <c r="I44" s="162">
        <v>2</v>
      </c>
      <c r="J44" s="164"/>
      <c r="K44" s="164"/>
      <c r="L44" s="164"/>
      <c r="M44" s="162">
        <v>2</v>
      </c>
      <c r="N44" s="161">
        <v>15</v>
      </c>
      <c r="O44" s="164"/>
      <c r="P44" s="164"/>
      <c r="Q44" s="164"/>
      <c r="R44" s="163"/>
    </row>
    <row r="45" spans="2:18" ht="141.6" customHeight="1" x14ac:dyDescent="0.3">
      <c r="B45" s="169" t="s">
        <v>96</v>
      </c>
      <c r="C45" s="161" t="s">
        <v>89</v>
      </c>
      <c r="D45" s="168" t="s">
        <v>455</v>
      </c>
      <c r="E45" s="171" t="s">
        <v>501</v>
      </c>
      <c r="F45" s="171" t="s">
        <v>502</v>
      </c>
      <c r="G45" s="160" t="s">
        <v>503</v>
      </c>
      <c r="H45" s="163"/>
      <c r="I45" s="162">
        <v>1</v>
      </c>
      <c r="J45" s="164"/>
      <c r="K45" s="164"/>
      <c r="L45" s="164"/>
      <c r="M45" s="162">
        <v>2</v>
      </c>
      <c r="N45" s="161">
        <v>25</v>
      </c>
      <c r="O45" s="164"/>
      <c r="P45" s="164"/>
      <c r="Q45" s="164"/>
      <c r="R45" s="163"/>
    </row>
    <row r="46" spans="2:18" ht="141.6" customHeight="1" x14ac:dyDescent="0.3">
      <c r="B46" s="169" t="s">
        <v>97</v>
      </c>
      <c r="C46" s="161" t="s">
        <v>408</v>
      </c>
      <c r="D46" s="168" t="s">
        <v>455</v>
      </c>
      <c r="E46" s="171" t="s">
        <v>504</v>
      </c>
      <c r="F46" s="159" t="s">
        <v>505</v>
      </c>
      <c r="G46" s="160" t="s">
        <v>506</v>
      </c>
      <c r="H46" s="163"/>
      <c r="I46" s="162">
        <v>1</v>
      </c>
      <c r="J46" s="164"/>
      <c r="K46" s="164"/>
      <c r="L46" s="164"/>
      <c r="M46" s="162">
        <v>2</v>
      </c>
      <c r="N46" s="161">
        <v>25</v>
      </c>
      <c r="O46" s="164"/>
      <c r="P46" s="164"/>
      <c r="Q46" s="164"/>
      <c r="R46" s="163"/>
    </row>
    <row r="47" spans="2:18" ht="141.6" customHeight="1" x14ac:dyDescent="0.3">
      <c r="B47" s="169" t="s">
        <v>100</v>
      </c>
      <c r="C47" s="161" t="s">
        <v>617</v>
      </c>
      <c r="D47" s="168" t="s">
        <v>456</v>
      </c>
      <c r="E47" s="171" t="s">
        <v>618</v>
      </c>
      <c r="F47" s="159" t="s">
        <v>619</v>
      </c>
      <c r="G47" s="160" t="s">
        <v>620</v>
      </c>
      <c r="H47" s="163"/>
      <c r="I47" s="162">
        <v>2</v>
      </c>
      <c r="J47" s="164"/>
      <c r="K47" s="164"/>
      <c r="L47" s="164"/>
      <c r="M47" s="162">
        <v>2</v>
      </c>
      <c r="N47" s="161">
        <v>20</v>
      </c>
      <c r="O47" s="164"/>
      <c r="P47" s="164"/>
      <c r="Q47" s="164"/>
      <c r="R47" s="163"/>
    </row>
    <row r="48" spans="2:18" ht="141.6" customHeight="1" x14ac:dyDescent="0.3">
      <c r="B48" s="169" t="s">
        <v>101</v>
      </c>
      <c r="C48" s="161" t="s">
        <v>621</v>
      </c>
      <c r="D48" s="168" t="s">
        <v>456</v>
      </c>
      <c r="E48" s="171" t="s">
        <v>622</v>
      </c>
      <c r="F48" s="159" t="s">
        <v>623</v>
      </c>
      <c r="G48" s="160" t="s">
        <v>624</v>
      </c>
      <c r="H48" s="163"/>
      <c r="I48" s="162">
        <v>2</v>
      </c>
      <c r="J48" s="164"/>
      <c r="K48" s="164"/>
      <c r="L48" s="164"/>
      <c r="M48" s="162">
        <v>2</v>
      </c>
      <c r="N48" s="161">
        <v>20</v>
      </c>
      <c r="O48" s="164"/>
      <c r="P48" s="164"/>
      <c r="Q48" s="164"/>
      <c r="R48" s="163"/>
    </row>
    <row r="49" spans="1:26" ht="141.6" customHeight="1" x14ac:dyDescent="0.3">
      <c r="B49" s="169" t="s">
        <v>390</v>
      </c>
      <c r="C49" s="161" t="s">
        <v>412</v>
      </c>
      <c r="D49" s="168" t="s">
        <v>458</v>
      </c>
      <c r="E49" s="171" t="s">
        <v>507</v>
      </c>
      <c r="F49" s="171" t="s">
        <v>508</v>
      </c>
      <c r="G49" s="160" t="s">
        <v>509</v>
      </c>
      <c r="H49" s="163"/>
      <c r="I49" s="162">
        <v>2</v>
      </c>
      <c r="J49" s="164"/>
      <c r="K49" s="164"/>
      <c r="L49" s="164"/>
      <c r="M49" s="162">
        <v>2</v>
      </c>
      <c r="N49" s="161">
        <v>25</v>
      </c>
      <c r="O49" s="164"/>
      <c r="P49" s="164"/>
      <c r="Q49" s="164"/>
      <c r="R49" s="163"/>
    </row>
    <row r="50" spans="1:26" ht="141.6" customHeight="1" x14ac:dyDescent="0.3">
      <c r="B50" s="169" t="s">
        <v>391</v>
      </c>
      <c r="C50" s="161" t="s">
        <v>411</v>
      </c>
      <c r="D50" s="168" t="s">
        <v>458</v>
      </c>
      <c r="E50" s="171" t="s">
        <v>510</v>
      </c>
      <c r="F50" s="159" t="s">
        <v>511</v>
      </c>
      <c r="G50" s="160" t="s">
        <v>512</v>
      </c>
      <c r="H50" s="163"/>
      <c r="I50" s="162">
        <v>2</v>
      </c>
      <c r="J50" s="164"/>
      <c r="K50" s="164"/>
      <c r="L50" s="164"/>
      <c r="M50" s="162">
        <v>2</v>
      </c>
      <c r="N50" s="161">
        <v>25</v>
      </c>
      <c r="O50" s="164"/>
      <c r="P50" s="164"/>
      <c r="Q50" s="164"/>
      <c r="R50" s="163"/>
    </row>
    <row r="51" spans="1:26" ht="141.6" customHeight="1" x14ac:dyDescent="0.3">
      <c r="B51" s="169" t="s">
        <v>392</v>
      </c>
      <c r="C51" s="162" t="s">
        <v>62</v>
      </c>
      <c r="D51" s="168" t="s">
        <v>457</v>
      </c>
      <c r="E51" s="171" t="s">
        <v>513</v>
      </c>
      <c r="F51" s="159" t="s">
        <v>514</v>
      </c>
      <c r="G51" s="160" t="s">
        <v>515</v>
      </c>
      <c r="H51" s="163"/>
      <c r="I51" s="162">
        <v>2</v>
      </c>
      <c r="J51" s="164"/>
      <c r="K51" s="164"/>
      <c r="L51" s="164"/>
      <c r="M51" s="162">
        <v>2</v>
      </c>
      <c r="N51" s="161">
        <v>25</v>
      </c>
      <c r="O51" s="164"/>
      <c r="P51" s="164"/>
      <c r="Q51" s="164"/>
      <c r="R51" s="163"/>
    </row>
    <row r="52" spans="1:26" ht="141.6" customHeight="1" x14ac:dyDescent="0.3">
      <c r="B52" s="169" t="s">
        <v>414</v>
      </c>
      <c r="C52" s="162" t="s">
        <v>64</v>
      </c>
      <c r="D52" s="168" t="s">
        <v>457</v>
      </c>
      <c r="E52" s="171" t="s">
        <v>516</v>
      </c>
      <c r="F52" s="171" t="s">
        <v>517</v>
      </c>
      <c r="G52" s="160" t="s">
        <v>518</v>
      </c>
      <c r="H52" s="163"/>
      <c r="I52" s="162">
        <v>2</v>
      </c>
      <c r="J52" s="164"/>
      <c r="K52" s="164"/>
      <c r="L52" s="164"/>
      <c r="M52" s="162">
        <v>2</v>
      </c>
      <c r="N52" s="161">
        <v>20</v>
      </c>
      <c r="O52" s="164"/>
      <c r="P52" s="164"/>
      <c r="Q52" s="164"/>
      <c r="R52" s="163"/>
    </row>
    <row r="53" spans="1:26" ht="141.6" customHeight="1" x14ac:dyDescent="0.3">
      <c r="B53" s="169" t="s">
        <v>415</v>
      </c>
      <c r="C53" s="162" t="s">
        <v>66</v>
      </c>
      <c r="D53" s="168" t="s">
        <v>457</v>
      </c>
      <c r="E53" s="171" t="s">
        <v>67</v>
      </c>
      <c r="F53" s="159" t="s">
        <v>519</v>
      </c>
      <c r="G53" s="160" t="s">
        <v>520</v>
      </c>
      <c r="H53" s="163"/>
      <c r="I53" s="162">
        <v>2</v>
      </c>
      <c r="J53" s="164"/>
      <c r="K53" s="164"/>
      <c r="L53" s="164"/>
      <c r="M53" s="162">
        <v>2</v>
      </c>
      <c r="N53" s="161">
        <v>25</v>
      </c>
      <c r="O53" s="165"/>
      <c r="P53" s="165"/>
      <c r="Q53" s="165"/>
      <c r="R53" s="163"/>
    </row>
    <row r="54" spans="1:26" ht="39" customHeight="1" x14ac:dyDescent="0.3">
      <c r="B54" s="161"/>
      <c r="C54" s="162"/>
      <c r="D54" s="168"/>
      <c r="E54" s="171"/>
      <c r="F54" s="171"/>
      <c r="G54" s="170"/>
      <c r="H54" s="163"/>
      <c r="I54" s="162"/>
      <c r="J54" s="164"/>
      <c r="K54" s="164"/>
      <c r="L54" s="164"/>
      <c r="M54" s="162"/>
      <c r="N54" s="161"/>
      <c r="O54" s="165"/>
      <c r="P54" s="165"/>
      <c r="Q54" s="165"/>
      <c r="R54" s="163"/>
    </row>
    <row r="55" spans="1:26" ht="141.6" customHeight="1" x14ac:dyDescent="0.3">
      <c r="A55" s="20"/>
      <c r="B55" s="169" t="s">
        <v>416</v>
      </c>
      <c r="C55" s="168" t="s">
        <v>413</v>
      </c>
      <c r="D55" s="168" t="s">
        <v>457</v>
      </c>
      <c r="E55" s="171" t="s">
        <v>521</v>
      </c>
      <c r="F55" s="171" t="s">
        <v>522</v>
      </c>
      <c r="G55" s="160" t="s">
        <v>523</v>
      </c>
      <c r="H55" s="163"/>
      <c r="I55" s="162">
        <v>2</v>
      </c>
      <c r="J55" s="163"/>
      <c r="K55" s="163"/>
      <c r="L55" s="163"/>
      <c r="M55" s="162">
        <v>2</v>
      </c>
      <c r="N55" s="161">
        <v>25</v>
      </c>
      <c r="O55" s="161">
        <v>25</v>
      </c>
      <c r="P55" s="161">
        <v>25</v>
      </c>
      <c r="Q55" s="161">
        <v>25</v>
      </c>
      <c r="R55" s="163"/>
      <c r="S55" s="20"/>
      <c r="T55" s="20"/>
      <c r="U55" s="20"/>
      <c r="V55" s="20"/>
      <c r="W55" s="20"/>
      <c r="X55" s="20"/>
      <c r="Y55" s="20"/>
      <c r="Z55" s="20"/>
    </row>
    <row r="56" spans="1:26" ht="141.6" customHeight="1" x14ac:dyDescent="0.3">
      <c r="B56" s="169" t="s">
        <v>417</v>
      </c>
      <c r="C56" s="162" t="s">
        <v>69</v>
      </c>
      <c r="D56" s="168" t="s">
        <v>454</v>
      </c>
      <c r="E56" s="171" t="s">
        <v>70</v>
      </c>
      <c r="F56" s="159" t="s">
        <v>524</v>
      </c>
      <c r="G56" s="160" t="s">
        <v>525</v>
      </c>
      <c r="H56" s="163"/>
      <c r="I56" s="162">
        <v>1</v>
      </c>
      <c r="J56" s="164"/>
      <c r="K56" s="164"/>
      <c r="L56" s="164"/>
      <c r="M56" s="162">
        <v>3</v>
      </c>
      <c r="N56" s="161">
        <v>25</v>
      </c>
      <c r="O56" s="164"/>
      <c r="P56" s="164"/>
      <c r="Q56" s="164"/>
      <c r="R56" s="163"/>
    </row>
    <row r="57" spans="1:26" ht="141.6" customHeight="1" x14ac:dyDescent="0.3">
      <c r="A57" s="20"/>
      <c r="B57" s="169" t="s">
        <v>418</v>
      </c>
      <c r="C57" s="162" t="s">
        <v>72</v>
      </c>
      <c r="D57" s="168" t="s">
        <v>457</v>
      </c>
      <c r="E57" s="171" t="s">
        <v>526</v>
      </c>
      <c r="F57" s="159" t="s">
        <v>527</v>
      </c>
      <c r="G57" s="160" t="s">
        <v>528</v>
      </c>
      <c r="H57" s="163"/>
      <c r="I57" s="162">
        <v>2</v>
      </c>
      <c r="J57" s="163"/>
      <c r="K57" s="163"/>
      <c r="L57" s="163"/>
      <c r="M57" s="162">
        <v>3</v>
      </c>
      <c r="N57" s="161">
        <v>20</v>
      </c>
      <c r="O57" s="163"/>
      <c r="P57" s="163"/>
      <c r="Q57" s="163"/>
      <c r="R57" s="163"/>
      <c r="S57" s="20"/>
      <c r="T57" s="20"/>
      <c r="U57" s="20"/>
      <c r="V57" s="20"/>
      <c r="W57" s="20"/>
      <c r="X57" s="20"/>
      <c r="Y57" s="20"/>
      <c r="Z57" s="20"/>
    </row>
    <row r="58" spans="1:26" ht="141.6" customHeight="1" x14ac:dyDescent="0.3">
      <c r="B58" s="169" t="s">
        <v>419</v>
      </c>
      <c r="C58" s="162" t="s">
        <v>76</v>
      </c>
      <c r="D58" s="168" t="s">
        <v>457</v>
      </c>
      <c r="E58" s="171" t="s">
        <v>77</v>
      </c>
      <c r="F58" s="171" t="s">
        <v>529</v>
      </c>
      <c r="G58" s="160" t="s">
        <v>530</v>
      </c>
      <c r="H58" s="163"/>
      <c r="I58" s="162">
        <v>1</v>
      </c>
      <c r="J58" s="164"/>
      <c r="K58" s="164"/>
      <c r="L58" s="164"/>
      <c r="M58" s="162">
        <v>3</v>
      </c>
      <c r="N58" s="161">
        <v>25</v>
      </c>
      <c r="O58" s="166"/>
      <c r="P58" s="166"/>
      <c r="Q58" s="166"/>
      <c r="R58" s="167"/>
    </row>
    <row r="59" spans="1:26" ht="141.6" customHeight="1" x14ac:dyDescent="0.3">
      <c r="B59" s="169" t="s">
        <v>420</v>
      </c>
      <c r="C59" s="162" t="s">
        <v>80</v>
      </c>
      <c r="D59" s="168" t="s">
        <v>457</v>
      </c>
      <c r="E59" s="171" t="s">
        <v>81</v>
      </c>
      <c r="F59" s="171" t="s">
        <v>82</v>
      </c>
      <c r="G59" s="160" t="s">
        <v>531</v>
      </c>
      <c r="H59" s="163"/>
      <c r="I59" s="162">
        <v>3</v>
      </c>
      <c r="J59" s="164"/>
      <c r="K59" s="164"/>
      <c r="L59" s="164"/>
      <c r="M59" s="162">
        <v>3</v>
      </c>
      <c r="N59" s="161">
        <v>10</v>
      </c>
      <c r="O59" s="166"/>
      <c r="P59" s="166"/>
      <c r="Q59" s="166"/>
      <c r="R59" s="167"/>
    </row>
    <row r="60" spans="1:26" ht="141.6" customHeight="1" x14ac:dyDescent="0.3">
      <c r="B60" s="169" t="s">
        <v>421</v>
      </c>
      <c r="C60" s="161" t="s">
        <v>84</v>
      </c>
      <c r="D60" s="168" t="s">
        <v>457</v>
      </c>
      <c r="E60" s="171" t="s">
        <v>85</v>
      </c>
      <c r="F60" s="171" t="s">
        <v>86</v>
      </c>
      <c r="G60" s="160" t="s">
        <v>532</v>
      </c>
      <c r="H60" s="163"/>
      <c r="I60" s="162">
        <v>3</v>
      </c>
      <c r="J60" s="164"/>
      <c r="K60" s="164"/>
      <c r="L60" s="164"/>
      <c r="M60" s="162">
        <v>3</v>
      </c>
      <c r="N60" s="162">
        <v>20</v>
      </c>
      <c r="O60" s="166"/>
      <c r="P60" s="166"/>
      <c r="Q60" s="166"/>
      <c r="R60" s="167"/>
    </row>
    <row r="61" spans="1:26" ht="141.6" customHeight="1" x14ac:dyDescent="0.3">
      <c r="B61" s="169" t="s">
        <v>422</v>
      </c>
      <c r="C61" s="162" t="s">
        <v>91</v>
      </c>
      <c r="D61" s="168" t="s">
        <v>457</v>
      </c>
      <c r="E61" s="171" t="s">
        <v>92</v>
      </c>
      <c r="F61" s="171" t="s">
        <v>534</v>
      </c>
      <c r="G61" s="160" t="s">
        <v>533</v>
      </c>
      <c r="H61" s="163"/>
      <c r="I61" s="162">
        <v>3</v>
      </c>
      <c r="J61" s="164"/>
      <c r="K61" s="164"/>
      <c r="L61" s="164"/>
      <c r="M61" s="162">
        <v>3</v>
      </c>
      <c r="N61" s="162">
        <v>25</v>
      </c>
      <c r="O61" s="166"/>
      <c r="P61" s="166"/>
      <c r="Q61" s="166"/>
      <c r="R61" s="167"/>
    </row>
    <row r="62" spans="1:26" ht="141.6" customHeight="1" x14ac:dyDescent="0.3">
      <c r="B62" s="169" t="s">
        <v>423</v>
      </c>
      <c r="C62" s="162" t="s">
        <v>409</v>
      </c>
      <c r="D62" s="168" t="s">
        <v>453</v>
      </c>
      <c r="E62" s="171" t="s">
        <v>535</v>
      </c>
      <c r="F62" s="159" t="s">
        <v>536</v>
      </c>
      <c r="G62" s="160" t="s">
        <v>533</v>
      </c>
      <c r="H62" s="163"/>
      <c r="I62" s="162">
        <v>2</v>
      </c>
      <c r="J62" s="164"/>
      <c r="K62" s="164"/>
      <c r="L62" s="164"/>
      <c r="M62" s="162">
        <v>3</v>
      </c>
      <c r="N62" s="162">
        <v>25</v>
      </c>
      <c r="O62" s="166"/>
      <c r="P62" s="166"/>
      <c r="Q62" s="166"/>
      <c r="R62" s="167"/>
    </row>
    <row r="63" spans="1:26" ht="141.6" customHeight="1" x14ac:dyDescent="0.3">
      <c r="B63" s="169" t="s">
        <v>424</v>
      </c>
      <c r="C63" s="162" t="s">
        <v>98</v>
      </c>
      <c r="D63" s="168" t="s">
        <v>453</v>
      </c>
      <c r="E63" s="171" t="s">
        <v>99</v>
      </c>
      <c r="F63" s="159" t="s">
        <v>437</v>
      </c>
      <c r="G63" s="160" t="s">
        <v>537</v>
      </c>
      <c r="H63" s="163"/>
      <c r="I63" s="162">
        <v>2</v>
      </c>
      <c r="J63" s="164"/>
      <c r="K63" s="164"/>
      <c r="L63" s="164"/>
      <c r="M63" s="162">
        <v>3</v>
      </c>
      <c r="N63" s="161">
        <v>20</v>
      </c>
      <c r="O63" s="166"/>
      <c r="P63" s="166"/>
      <c r="Q63" s="166"/>
      <c r="R63" s="167"/>
    </row>
    <row r="64" spans="1:26" ht="141.6" customHeight="1" x14ac:dyDescent="0.3">
      <c r="B64" s="169" t="s">
        <v>425</v>
      </c>
      <c r="C64" s="162" t="s">
        <v>410</v>
      </c>
      <c r="D64" s="168" t="s">
        <v>454</v>
      </c>
      <c r="E64" s="171" t="s">
        <v>538</v>
      </c>
      <c r="F64" s="171" t="s">
        <v>539</v>
      </c>
      <c r="G64" s="160" t="s">
        <v>540</v>
      </c>
      <c r="H64" s="163"/>
      <c r="I64" s="162">
        <v>3</v>
      </c>
      <c r="J64" s="164"/>
      <c r="K64" s="164"/>
      <c r="L64" s="164"/>
      <c r="M64" s="162">
        <v>3</v>
      </c>
      <c r="N64" s="161">
        <v>15</v>
      </c>
      <c r="O64" s="166"/>
      <c r="P64" s="166"/>
      <c r="Q64" s="166"/>
      <c r="R64" s="167"/>
    </row>
    <row r="65" spans="2:18" ht="141.6" customHeight="1" x14ac:dyDescent="0.3">
      <c r="B65" s="169" t="s">
        <v>616</v>
      </c>
      <c r="C65" s="162" t="s">
        <v>396</v>
      </c>
      <c r="D65" s="168" t="s">
        <v>454</v>
      </c>
      <c r="E65" s="171" t="s">
        <v>541</v>
      </c>
      <c r="F65" s="159" t="s">
        <v>542</v>
      </c>
      <c r="G65" s="160" t="s">
        <v>543</v>
      </c>
      <c r="H65" s="163"/>
      <c r="I65" s="162">
        <v>3</v>
      </c>
      <c r="J65" s="164"/>
      <c r="K65" s="164"/>
      <c r="L65" s="164"/>
      <c r="M65" s="162">
        <v>3</v>
      </c>
      <c r="N65" s="161">
        <v>15</v>
      </c>
      <c r="O65" s="166"/>
      <c r="P65" s="166"/>
      <c r="Q65" s="166"/>
      <c r="R65" s="167"/>
    </row>
    <row r="66" spans="2:18" ht="141.6" customHeight="1" x14ac:dyDescent="0.3">
      <c r="B66" s="169" t="s">
        <v>691</v>
      </c>
      <c r="C66" s="162" t="s">
        <v>397</v>
      </c>
      <c r="D66" s="168" t="s">
        <v>455</v>
      </c>
      <c r="E66" s="171" t="s">
        <v>544</v>
      </c>
      <c r="F66" s="159" t="s">
        <v>545</v>
      </c>
      <c r="G66" s="160" t="s">
        <v>546</v>
      </c>
      <c r="H66" s="163"/>
      <c r="I66" s="162">
        <v>3</v>
      </c>
      <c r="J66" s="164"/>
      <c r="K66" s="164"/>
      <c r="L66" s="164"/>
      <c r="M66" s="162">
        <v>3</v>
      </c>
      <c r="N66" s="161">
        <v>10</v>
      </c>
      <c r="O66" s="166"/>
      <c r="P66" s="166"/>
      <c r="Q66" s="166"/>
      <c r="R66" s="167"/>
    </row>
    <row r="67" spans="2:18" ht="141.6" customHeight="1" x14ac:dyDescent="0.3">
      <c r="B67" s="169" t="s">
        <v>692</v>
      </c>
      <c r="C67" s="162" t="s">
        <v>398</v>
      </c>
      <c r="D67" s="168" t="s">
        <v>456</v>
      </c>
      <c r="E67" s="159" t="s">
        <v>547</v>
      </c>
      <c r="F67" s="159" t="s">
        <v>548</v>
      </c>
      <c r="G67" s="160" t="s">
        <v>549</v>
      </c>
      <c r="H67" s="163"/>
      <c r="I67" s="162">
        <v>3</v>
      </c>
      <c r="J67" s="164"/>
      <c r="K67" s="164"/>
      <c r="L67" s="164"/>
      <c r="M67" s="162">
        <v>3</v>
      </c>
      <c r="N67" s="161">
        <v>10</v>
      </c>
      <c r="O67" s="166"/>
      <c r="P67" s="166"/>
      <c r="Q67" s="166"/>
      <c r="R67" s="167"/>
    </row>
    <row r="68" spans="2:18" ht="141.6" customHeight="1" x14ac:dyDescent="0.3">
      <c r="B68" s="169" t="s">
        <v>693</v>
      </c>
      <c r="C68" s="162" t="s">
        <v>399</v>
      </c>
      <c r="D68" s="168" t="s">
        <v>457</v>
      </c>
      <c r="E68" s="171" t="s">
        <v>550</v>
      </c>
      <c r="F68" s="171" t="s">
        <v>551</v>
      </c>
      <c r="G68" s="160" t="s">
        <v>552</v>
      </c>
      <c r="H68" s="163"/>
      <c r="I68" s="162">
        <v>3</v>
      </c>
      <c r="J68" s="164"/>
      <c r="K68" s="164"/>
      <c r="L68" s="164"/>
      <c r="M68" s="162">
        <v>3</v>
      </c>
      <c r="N68" s="161">
        <v>10</v>
      </c>
      <c r="O68" s="166"/>
      <c r="P68" s="166"/>
      <c r="Q68" s="166"/>
      <c r="R68" s="167"/>
    </row>
    <row r="69" spans="2:18" ht="141.6" customHeight="1" x14ac:dyDescent="0.3">
      <c r="B69" s="169" t="s">
        <v>694</v>
      </c>
      <c r="C69" s="162" t="s">
        <v>400</v>
      </c>
      <c r="D69" s="168" t="s">
        <v>458</v>
      </c>
      <c r="E69" s="159" t="s">
        <v>553</v>
      </c>
      <c r="F69" s="159" t="s">
        <v>554</v>
      </c>
      <c r="G69" s="160" t="s">
        <v>555</v>
      </c>
      <c r="H69" s="163"/>
      <c r="I69" s="162">
        <v>3</v>
      </c>
      <c r="J69" s="164"/>
      <c r="K69" s="164"/>
      <c r="L69" s="164"/>
      <c r="M69" s="162">
        <v>3</v>
      </c>
      <c r="N69" s="161">
        <v>10</v>
      </c>
      <c r="O69" s="166"/>
      <c r="P69" s="166"/>
      <c r="Q69" s="166"/>
      <c r="R69" s="167"/>
    </row>
    <row r="70" spans="2:18" ht="141.6" customHeight="1" x14ac:dyDescent="0.3">
      <c r="B70" s="169" t="s">
        <v>695</v>
      </c>
      <c r="C70" s="162" t="s">
        <v>427</v>
      </c>
      <c r="D70" s="168" t="s">
        <v>428</v>
      </c>
      <c r="E70" s="171" t="s">
        <v>556</v>
      </c>
      <c r="F70" s="171" t="s">
        <v>557</v>
      </c>
      <c r="G70" s="160" t="s">
        <v>558</v>
      </c>
      <c r="H70" s="163"/>
      <c r="I70" s="162">
        <v>2</v>
      </c>
      <c r="J70" s="164"/>
      <c r="K70" s="164"/>
      <c r="L70" s="164"/>
      <c r="M70" s="162">
        <v>3</v>
      </c>
      <c r="N70" s="161">
        <v>10</v>
      </c>
      <c r="O70" s="166"/>
      <c r="P70" s="166"/>
      <c r="Q70" s="166"/>
      <c r="R70" s="167"/>
    </row>
    <row r="71" spans="2:18" ht="141.6" customHeight="1" x14ac:dyDescent="0.3">
      <c r="B71" s="169" t="s">
        <v>696</v>
      </c>
      <c r="C71" s="162" t="s">
        <v>426</v>
      </c>
      <c r="D71" s="168" t="s">
        <v>428</v>
      </c>
      <c r="E71" s="171" t="s">
        <v>559</v>
      </c>
      <c r="F71" s="171" t="s">
        <v>560</v>
      </c>
      <c r="G71" s="160" t="s">
        <v>561</v>
      </c>
      <c r="H71" s="163"/>
      <c r="I71" s="162">
        <v>2</v>
      </c>
      <c r="J71" s="164"/>
      <c r="K71" s="164"/>
      <c r="L71" s="164"/>
      <c r="M71" s="162">
        <v>3</v>
      </c>
      <c r="N71" s="161">
        <v>10</v>
      </c>
      <c r="O71" s="166"/>
      <c r="P71" s="166"/>
      <c r="Q71" s="166"/>
      <c r="R71" s="167"/>
    </row>
    <row r="72" spans="2:18" ht="13.5" customHeight="1" x14ac:dyDescent="0.3">
      <c r="E72" s="12"/>
      <c r="F72" s="12"/>
      <c r="G72" s="13"/>
      <c r="H72" s="12"/>
    </row>
    <row r="73" spans="2:18" ht="13.5" customHeight="1" x14ac:dyDescent="0.3">
      <c r="G73" s="11"/>
    </row>
    <row r="74" spans="2:18" ht="13.5" customHeight="1" x14ac:dyDescent="0.3">
      <c r="E74" s="12"/>
      <c r="F74" s="12"/>
      <c r="G74" s="13"/>
      <c r="H74" s="12"/>
    </row>
    <row r="75" spans="2:18" ht="13.5" customHeight="1" x14ac:dyDescent="0.3">
      <c r="E75" s="12"/>
      <c r="F75" s="12"/>
      <c r="G75" s="13"/>
      <c r="H75" s="12"/>
    </row>
    <row r="76" spans="2:18" ht="13.5" customHeight="1" x14ac:dyDescent="0.3">
      <c r="E76" s="12"/>
      <c r="F76" s="12"/>
      <c r="G76" s="13"/>
      <c r="H76" s="12"/>
    </row>
    <row r="77" spans="2:18" ht="13.5" customHeight="1" x14ac:dyDescent="0.3">
      <c r="E77" s="12"/>
      <c r="F77" s="12"/>
      <c r="G77" s="13"/>
      <c r="H77" s="12"/>
    </row>
    <row r="78" spans="2:18" ht="13.5" customHeight="1" x14ac:dyDescent="0.3">
      <c r="E78" s="12"/>
      <c r="F78" s="12"/>
      <c r="G78" s="13"/>
      <c r="H78" s="12"/>
    </row>
    <row r="79" spans="2:18" ht="13.5" customHeight="1" x14ac:dyDescent="0.3">
      <c r="E79" s="12"/>
      <c r="F79" s="12"/>
      <c r="G79" s="13"/>
      <c r="H79" s="12"/>
    </row>
    <row r="80" spans="2:18" ht="13.5" customHeight="1" x14ac:dyDescent="0.3">
      <c r="E80" s="12"/>
      <c r="F80" s="12"/>
      <c r="G80" s="13"/>
      <c r="H80" s="12"/>
    </row>
    <row r="81" spans="5:8" ht="13.5" customHeight="1" x14ac:dyDescent="0.3">
      <c r="E81" s="12"/>
      <c r="F81" s="12"/>
      <c r="G81" s="13"/>
      <c r="H81" s="12"/>
    </row>
    <row r="82" spans="5:8" ht="13.5" customHeight="1" x14ac:dyDescent="0.3">
      <c r="E82" s="12"/>
      <c r="F82" s="12"/>
      <c r="G82" s="13"/>
      <c r="H82" s="12"/>
    </row>
    <row r="83" spans="5:8" ht="13.5" customHeight="1" x14ac:dyDescent="0.3">
      <c r="E83" s="12"/>
      <c r="F83" s="12"/>
      <c r="G83" s="13"/>
      <c r="H83" s="12"/>
    </row>
    <row r="84" spans="5:8" ht="13.5" customHeight="1" x14ac:dyDescent="0.3">
      <c r="E84" s="12"/>
      <c r="F84" s="12"/>
      <c r="G84" s="13"/>
      <c r="H84" s="12"/>
    </row>
    <row r="85" spans="5:8" ht="13.5" customHeight="1" x14ac:dyDescent="0.3">
      <c r="E85" s="12"/>
      <c r="F85" s="12"/>
      <c r="G85" s="13"/>
      <c r="H85" s="12"/>
    </row>
    <row r="86" spans="5:8" ht="13.5" customHeight="1" x14ac:dyDescent="0.3">
      <c r="E86" s="12"/>
      <c r="F86" s="12"/>
      <c r="G86" s="13"/>
      <c r="H86" s="12"/>
    </row>
    <row r="87" spans="5:8" ht="13.5" customHeight="1" x14ac:dyDescent="0.3">
      <c r="E87" s="12"/>
      <c r="F87" s="12"/>
      <c r="G87" s="13"/>
      <c r="H87" s="12"/>
    </row>
    <row r="88" spans="5:8" ht="13.5" customHeight="1" x14ac:dyDescent="0.3">
      <c r="E88" s="12"/>
      <c r="F88" s="12"/>
      <c r="G88" s="13"/>
      <c r="H88" s="12"/>
    </row>
    <row r="89" spans="5:8" ht="13.5" customHeight="1" x14ac:dyDescent="0.3">
      <c r="E89" s="12"/>
      <c r="F89" s="12"/>
      <c r="G89" s="13"/>
      <c r="H89" s="12"/>
    </row>
    <row r="90" spans="5:8" ht="13.5" customHeight="1" x14ac:dyDescent="0.3">
      <c r="E90" s="12"/>
      <c r="F90" s="12"/>
      <c r="G90" s="13"/>
      <c r="H90" s="12"/>
    </row>
    <row r="91" spans="5:8" ht="13.5" customHeight="1" x14ac:dyDescent="0.3">
      <c r="E91" s="12"/>
      <c r="F91" s="12"/>
      <c r="G91" s="13"/>
      <c r="H91" s="12"/>
    </row>
    <row r="92" spans="5:8" ht="13.5" customHeight="1" x14ac:dyDescent="0.3">
      <c r="E92" s="12"/>
      <c r="F92" s="12"/>
      <c r="G92" s="13"/>
      <c r="H92" s="12"/>
    </row>
    <row r="93" spans="5:8" ht="13.5" customHeight="1" x14ac:dyDescent="0.3">
      <c r="E93" s="12"/>
      <c r="F93" s="12"/>
      <c r="G93" s="13"/>
      <c r="H93" s="12"/>
    </row>
    <row r="94" spans="5:8" ht="13.5" customHeight="1" x14ac:dyDescent="0.3">
      <c r="E94" s="12"/>
      <c r="F94" s="12"/>
      <c r="G94" s="13"/>
      <c r="H94" s="12"/>
    </row>
    <row r="95" spans="5:8" ht="13.5" customHeight="1" x14ac:dyDescent="0.3">
      <c r="E95" s="12"/>
      <c r="F95" s="12"/>
      <c r="G95" s="13"/>
      <c r="H95" s="12"/>
    </row>
    <row r="96" spans="5:8" ht="13.5" customHeight="1" x14ac:dyDescent="0.3">
      <c r="E96" s="12"/>
      <c r="F96" s="12"/>
      <c r="G96" s="13"/>
      <c r="H96" s="12"/>
    </row>
    <row r="97" spans="5:8" ht="13.5" customHeight="1" x14ac:dyDescent="0.3">
      <c r="E97" s="12"/>
      <c r="F97" s="12"/>
      <c r="G97" s="13"/>
      <c r="H97" s="12"/>
    </row>
    <row r="98" spans="5:8" ht="13.5" customHeight="1" x14ac:dyDescent="0.3">
      <c r="E98" s="12"/>
      <c r="F98" s="12"/>
      <c r="G98" s="13"/>
      <c r="H98" s="12"/>
    </row>
    <row r="99" spans="5:8" ht="13.5" customHeight="1" x14ac:dyDescent="0.3">
      <c r="E99" s="12"/>
      <c r="F99" s="12"/>
      <c r="G99" s="13"/>
      <c r="H99" s="12"/>
    </row>
    <row r="100" spans="5:8" ht="13.5" customHeight="1" x14ac:dyDescent="0.3">
      <c r="E100" s="12"/>
      <c r="F100" s="12"/>
      <c r="G100" s="13"/>
      <c r="H100" s="12"/>
    </row>
    <row r="101" spans="5:8" ht="13.5" customHeight="1" x14ac:dyDescent="0.3">
      <c r="E101" s="12"/>
      <c r="F101" s="12"/>
      <c r="G101" s="13"/>
      <c r="H101" s="12"/>
    </row>
    <row r="102" spans="5:8" ht="13.5" customHeight="1" x14ac:dyDescent="0.3">
      <c r="E102" s="12"/>
      <c r="F102" s="12"/>
      <c r="G102" s="13"/>
      <c r="H102" s="12"/>
    </row>
    <row r="103" spans="5:8" ht="13.5" customHeight="1" x14ac:dyDescent="0.3">
      <c r="E103" s="12"/>
      <c r="F103" s="12"/>
      <c r="G103" s="13"/>
      <c r="H103" s="12"/>
    </row>
    <row r="104" spans="5:8" ht="13.5" customHeight="1" x14ac:dyDescent="0.3">
      <c r="E104" s="12"/>
      <c r="F104" s="12"/>
      <c r="G104" s="13"/>
      <c r="H104" s="12"/>
    </row>
    <row r="105" spans="5:8" ht="13.5" customHeight="1" x14ac:dyDescent="0.3">
      <c r="E105" s="12"/>
      <c r="F105" s="12"/>
      <c r="G105" s="13"/>
      <c r="H105" s="12"/>
    </row>
    <row r="106" spans="5:8" ht="13.5" customHeight="1" x14ac:dyDescent="0.3">
      <c r="E106" s="12"/>
      <c r="F106" s="12"/>
      <c r="G106" s="13"/>
      <c r="H106" s="12"/>
    </row>
    <row r="107" spans="5:8" ht="13.5" customHeight="1" x14ac:dyDescent="0.3">
      <c r="E107" s="12"/>
      <c r="F107" s="12"/>
      <c r="G107" s="13"/>
      <c r="H107" s="12"/>
    </row>
    <row r="108" spans="5:8" ht="13.5" customHeight="1" x14ac:dyDescent="0.3">
      <c r="E108" s="12"/>
      <c r="F108" s="12"/>
      <c r="G108" s="13"/>
      <c r="H108" s="12"/>
    </row>
    <row r="109" spans="5:8" ht="13.5" customHeight="1" x14ac:dyDescent="0.3">
      <c r="E109" s="12"/>
      <c r="F109" s="12"/>
      <c r="G109" s="13"/>
      <c r="H109" s="12"/>
    </row>
    <row r="110" spans="5:8" ht="13.5" customHeight="1" x14ac:dyDescent="0.3">
      <c r="E110" s="12"/>
      <c r="F110" s="12"/>
      <c r="G110" s="13"/>
      <c r="H110" s="12"/>
    </row>
    <row r="111" spans="5:8" ht="13.5" customHeight="1" x14ac:dyDescent="0.3">
      <c r="E111" s="12"/>
      <c r="F111" s="12"/>
      <c r="G111" s="13"/>
      <c r="H111" s="12"/>
    </row>
    <row r="112" spans="5:8" ht="13.5" customHeight="1" x14ac:dyDescent="0.3">
      <c r="E112" s="12"/>
      <c r="F112" s="12"/>
      <c r="G112" s="13"/>
      <c r="H112" s="12"/>
    </row>
    <row r="113" spans="5:8" ht="13.5" customHeight="1" x14ac:dyDescent="0.3">
      <c r="E113" s="12"/>
      <c r="F113" s="12"/>
      <c r="G113" s="13"/>
      <c r="H113" s="12"/>
    </row>
    <row r="114" spans="5:8" ht="13.5" customHeight="1" x14ac:dyDescent="0.3">
      <c r="E114" s="12"/>
      <c r="F114" s="12"/>
      <c r="G114" s="13"/>
      <c r="H114" s="12"/>
    </row>
    <row r="115" spans="5:8" ht="13.5" customHeight="1" x14ac:dyDescent="0.3">
      <c r="E115" s="12"/>
      <c r="F115" s="12"/>
      <c r="G115" s="13"/>
      <c r="H115" s="12"/>
    </row>
    <row r="116" spans="5:8" ht="13.5" customHeight="1" x14ac:dyDescent="0.3">
      <c r="E116" s="12"/>
      <c r="F116" s="12"/>
      <c r="G116" s="13"/>
      <c r="H116" s="12"/>
    </row>
    <row r="117" spans="5:8" ht="13.5" customHeight="1" x14ac:dyDescent="0.3">
      <c r="E117" s="12"/>
      <c r="F117" s="12"/>
      <c r="G117" s="13"/>
      <c r="H117" s="12"/>
    </row>
    <row r="118" spans="5:8" ht="13.5" customHeight="1" x14ac:dyDescent="0.3">
      <c r="E118" s="12"/>
      <c r="F118" s="12"/>
      <c r="G118" s="13"/>
      <c r="H118" s="12"/>
    </row>
    <row r="119" spans="5:8" ht="13.5" customHeight="1" x14ac:dyDescent="0.3">
      <c r="E119" s="12"/>
      <c r="F119" s="12"/>
      <c r="G119" s="13"/>
      <c r="H119" s="12"/>
    </row>
    <row r="120" spans="5:8" ht="13.5" customHeight="1" x14ac:dyDescent="0.3">
      <c r="E120" s="12"/>
      <c r="F120" s="12"/>
      <c r="G120" s="13"/>
      <c r="H120" s="12"/>
    </row>
    <row r="121" spans="5:8" ht="13.5" customHeight="1" x14ac:dyDescent="0.3">
      <c r="E121" s="12"/>
      <c r="F121" s="12"/>
      <c r="G121" s="13"/>
      <c r="H121" s="12"/>
    </row>
    <row r="122" spans="5:8" ht="13.5" customHeight="1" x14ac:dyDescent="0.3">
      <c r="E122" s="12"/>
      <c r="F122" s="12"/>
      <c r="G122" s="13"/>
      <c r="H122" s="12"/>
    </row>
    <row r="123" spans="5:8" ht="13.5" customHeight="1" x14ac:dyDescent="0.3">
      <c r="E123" s="12"/>
      <c r="F123" s="12"/>
      <c r="G123" s="13"/>
      <c r="H123" s="12"/>
    </row>
    <row r="124" spans="5:8" ht="13.5" customHeight="1" x14ac:dyDescent="0.3">
      <c r="E124" s="12"/>
      <c r="F124" s="12"/>
      <c r="G124" s="13"/>
      <c r="H124" s="12"/>
    </row>
    <row r="125" spans="5:8" ht="13.5" customHeight="1" x14ac:dyDescent="0.3">
      <c r="E125" s="12"/>
      <c r="F125" s="12"/>
      <c r="G125" s="13"/>
      <c r="H125" s="12"/>
    </row>
    <row r="126" spans="5:8" ht="13.5" customHeight="1" x14ac:dyDescent="0.3">
      <c r="E126" s="12"/>
      <c r="F126" s="12"/>
      <c r="G126" s="13"/>
      <c r="H126" s="12"/>
    </row>
    <row r="127" spans="5:8" ht="13.5" customHeight="1" x14ac:dyDescent="0.3">
      <c r="E127" s="12"/>
      <c r="F127" s="12"/>
      <c r="G127" s="13"/>
      <c r="H127" s="12"/>
    </row>
    <row r="128" spans="5:8" ht="13.5" customHeight="1" x14ac:dyDescent="0.3">
      <c r="E128" s="12"/>
      <c r="F128" s="12"/>
      <c r="G128" s="13"/>
      <c r="H128" s="12"/>
    </row>
    <row r="129" spans="5:8" ht="13.5" customHeight="1" x14ac:dyDescent="0.3">
      <c r="E129" s="12"/>
      <c r="F129" s="12"/>
      <c r="G129" s="13"/>
      <c r="H129" s="12"/>
    </row>
    <row r="130" spans="5:8" ht="13.5" customHeight="1" x14ac:dyDescent="0.3">
      <c r="E130" s="12"/>
      <c r="F130" s="12"/>
      <c r="G130" s="13"/>
      <c r="H130" s="12"/>
    </row>
    <row r="131" spans="5:8" ht="13.5" customHeight="1" x14ac:dyDescent="0.3">
      <c r="E131" s="12"/>
      <c r="F131" s="12"/>
      <c r="G131" s="13"/>
      <c r="H131" s="12"/>
    </row>
    <row r="132" spans="5:8" ht="13.5" customHeight="1" x14ac:dyDescent="0.3">
      <c r="E132" s="12"/>
      <c r="F132" s="12"/>
      <c r="G132" s="13"/>
      <c r="H132" s="12"/>
    </row>
    <row r="133" spans="5:8" ht="13.5" customHeight="1" x14ac:dyDescent="0.3">
      <c r="E133" s="12"/>
      <c r="F133" s="12"/>
      <c r="G133" s="13"/>
      <c r="H133" s="12"/>
    </row>
    <row r="134" spans="5:8" ht="13.5" customHeight="1" x14ac:dyDescent="0.3">
      <c r="E134" s="12"/>
      <c r="F134" s="12"/>
      <c r="G134" s="13"/>
      <c r="H134" s="12"/>
    </row>
    <row r="135" spans="5:8" ht="13.5" customHeight="1" x14ac:dyDescent="0.3">
      <c r="E135" s="12"/>
      <c r="F135" s="12"/>
      <c r="G135" s="13"/>
      <c r="H135" s="12"/>
    </row>
    <row r="136" spans="5:8" ht="13.5" customHeight="1" x14ac:dyDescent="0.3">
      <c r="E136" s="12"/>
      <c r="F136" s="12"/>
      <c r="G136" s="13"/>
      <c r="H136" s="12"/>
    </row>
    <row r="137" spans="5:8" ht="13.5" customHeight="1" x14ac:dyDescent="0.3">
      <c r="E137" s="12"/>
      <c r="F137" s="12"/>
      <c r="G137" s="13"/>
      <c r="H137" s="12"/>
    </row>
    <row r="138" spans="5:8" ht="13.5" customHeight="1" x14ac:dyDescent="0.3">
      <c r="E138" s="12"/>
      <c r="F138" s="12"/>
      <c r="G138" s="13"/>
      <c r="H138" s="12"/>
    </row>
    <row r="139" spans="5:8" ht="13.5" customHeight="1" x14ac:dyDescent="0.3">
      <c r="E139" s="12"/>
      <c r="F139" s="12"/>
      <c r="G139" s="13"/>
      <c r="H139" s="12"/>
    </row>
    <row r="140" spans="5:8" ht="13.5" customHeight="1" x14ac:dyDescent="0.3">
      <c r="E140" s="12"/>
      <c r="F140" s="12"/>
      <c r="G140" s="13"/>
      <c r="H140" s="12"/>
    </row>
    <row r="141" spans="5:8" ht="13.5" customHeight="1" x14ac:dyDescent="0.3">
      <c r="E141" s="12"/>
      <c r="F141" s="12"/>
      <c r="G141" s="13"/>
      <c r="H141" s="12"/>
    </row>
    <row r="142" spans="5:8" ht="13.5" customHeight="1" x14ac:dyDescent="0.3">
      <c r="E142" s="12"/>
      <c r="F142" s="12"/>
      <c r="G142" s="13"/>
      <c r="H142" s="12"/>
    </row>
    <row r="143" spans="5:8" ht="13.5" customHeight="1" x14ac:dyDescent="0.3">
      <c r="E143" s="12"/>
      <c r="F143" s="12"/>
      <c r="G143" s="13"/>
      <c r="H143" s="12"/>
    </row>
    <row r="144" spans="5:8" ht="13.5" customHeight="1" x14ac:dyDescent="0.3">
      <c r="E144" s="12"/>
      <c r="F144" s="12"/>
      <c r="G144" s="13"/>
      <c r="H144" s="12"/>
    </row>
    <row r="145" spans="5:8" ht="13.5" customHeight="1" x14ac:dyDescent="0.3">
      <c r="E145" s="12"/>
      <c r="F145" s="12"/>
      <c r="G145" s="13"/>
      <c r="H145" s="12"/>
    </row>
    <row r="146" spans="5:8" ht="13.5" customHeight="1" x14ac:dyDescent="0.3">
      <c r="E146" s="12"/>
      <c r="F146" s="12"/>
      <c r="G146" s="13"/>
      <c r="H146" s="12"/>
    </row>
    <row r="147" spans="5:8" ht="13.5" customHeight="1" x14ac:dyDescent="0.3">
      <c r="E147" s="12"/>
      <c r="F147" s="12"/>
      <c r="G147" s="13"/>
      <c r="H147" s="12"/>
    </row>
    <row r="148" spans="5:8" ht="13.5" customHeight="1" x14ac:dyDescent="0.3">
      <c r="E148" s="12"/>
      <c r="F148" s="12"/>
      <c r="G148" s="13"/>
      <c r="H148" s="12"/>
    </row>
    <row r="149" spans="5:8" ht="13.5" customHeight="1" x14ac:dyDescent="0.3">
      <c r="E149" s="12"/>
      <c r="F149" s="12"/>
      <c r="G149" s="13"/>
      <c r="H149" s="12"/>
    </row>
    <row r="150" spans="5:8" ht="13.5" customHeight="1" x14ac:dyDescent="0.3">
      <c r="E150" s="12"/>
      <c r="F150" s="12"/>
      <c r="G150" s="13"/>
      <c r="H150" s="12"/>
    </row>
    <row r="151" spans="5:8" ht="13.5" customHeight="1" x14ac:dyDescent="0.3">
      <c r="E151" s="12"/>
      <c r="F151" s="12"/>
      <c r="G151" s="13"/>
      <c r="H151" s="12"/>
    </row>
    <row r="152" spans="5:8" ht="13.5" customHeight="1" x14ac:dyDescent="0.3">
      <c r="E152" s="12"/>
      <c r="F152" s="12"/>
      <c r="G152" s="13"/>
      <c r="H152" s="12"/>
    </row>
    <row r="153" spans="5:8" ht="13.5" customHeight="1" x14ac:dyDescent="0.3">
      <c r="E153" s="12"/>
      <c r="F153" s="12"/>
      <c r="G153" s="13"/>
      <c r="H153" s="12"/>
    </row>
    <row r="154" spans="5:8" ht="13.5" customHeight="1" x14ac:dyDescent="0.3">
      <c r="E154" s="12"/>
      <c r="F154" s="12"/>
      <c r="G154" s="13"/>
      <c r="H154" s="12"/>
    </row>
    <row r="155" spans="5:8" ht="13.5" customHeight="1" x14ac:dyDescent="0.3">
      <c r="E155" s="12"/>
      <c r="F155" s="12"/>
      <c r="G155" s="13"/>
      <c r="H155" s="12"/>
    </row>
    <row r="156" spans="5:8" ht="13.5" customHeight="1" x14ac:dyDescent="0.3">
      <c r="E156" s="12"/>
      <c r="F156" s="12"/>
      <c r="G156" s="13"/>
      <c r="H156" s="12"/>
    </row>
    <row r="157" spans="5:8" ht="13.5" customHeight="1" x14ac:dyDescent="0.3">
      <c r="E157" s="12"/>
      <c r="F157" s="12"/>
      <c r="G157" s="13"/>
      <c r="H157" s="12"/>
    </row>
    <row r="158" spans="5:8" ht="13.5" customHeight="1" x14ac:dyDescent="0.3">
      <c r="E158" s="12"/>
      <c r="F158" s="12"/>
      <c r="G158" s="13"/>
      <c r="H158" s="12"/>
    </row>
    <row r="159" spans="5:8" ht="13.5" customHeight="1" x14ac:dyDescent="0.3">
      <c r="E159" s="12"/>
      <c r="F159" s="12"/>
      <c r="G159" s="13"/>
      <c r="H159" s="12"/>
    </row>
    <row r="160" spans="5:8" ht="13.5" customHeight="1" x14ac:dyDescent="0.3">
      <c r="E160" s="12"/>
      <c r="F160" s="12"/>
      <c r="G160" s="13"/>
      <c r="H160" s="12"/>
    </row>
    <row r="161" spans="5:8" ht="13.5" customHeight="1" x14ac:dyDescent="0.3">
      <c r="E161" s="12"/>
      <c r="F161" s="12"/>
      <c r="G161" s="13"/>
      <c r="H161" s="12"/>
    </row>
    <row r="162" spans="5:8" ht="13.5" customHeight="1" x14ac:dyDescent="0.3">
      <c r="E162" s="12"/>
      <c r="F162" s="12"/>
      <c r="G162" s="13"/>
      <c r="H162" s="12"/>
    </row>
    <row r="163" spans="5:8" ht="13.5" customHeight="1" x14ac:dyDescent="0.3">
      <c r="E163" s="12"/>
      <c r="F163" s="12"/>
      <c r="G163" s="13"/>
      <c r="H163" s="12"/>
    </row>
    <row r="164" spans="5:8" ht="13.5" customHeight="1" x14ac:dyDescent="0.3">
      <c r="E164" s="12"/>
      <c r="F164" s="12"/>
      <c r="G164" s="13"/>
      <c r="H164" s="12"/>
    </row>
    <row r="165" spans="5:8" ht="13.5" customHeight="1" x14ac:dyDescent="0.3">
      <c r="E165" s="12"/>
      <c r="F165" s="12"/>
      <c r="G165" s="13"/>
      <c r="H165" s="12"/>
    </row>
    <row r="166" spans="5:8" ht="13.5" customHeight="1" x14ac:dyDescent="0.3">
      <c r="E166" s="12"/>
      <c r="F166" s="12"/>
      <c r="G166" s="13"/>
      <c r="H166" s="12"/>
    </row>
    <row r="167" spans="5:8" ht="13.5" customHeight="1" x14ac:dyDescent="0.3">
      <c r="E167" s="12"/>
      <c r="F167" s="12"/>
      <c r="G167" s="13"/>
      <c r="H167" s="12"/>
    </row>
    <row r="168" spans="5:8" ht="13.5" customHeight="1" x14ac:dyDescent="0.3">
      <c r="E168" s="12"/>
      <c r="F168" s="12"/>
      <c r="G168" s="13"/>
      <c r="H168" s="12"/>
    </row>
    <row r="169" spans="5:8" ht="13.5" customHeight="1" x14ac:dyDescent="0.3">
      <c r="E169" s="12"/>
      <c r="F169" s="12"/>
      <c r="G169" s="13"/>
      <c r="H169" s="12"/>
    </row>
    <row r="170" spans="5:8" ht="13.5" customHeight="1" x14ac:dyDescent="0.3">
      <c r="E170" s="12"/>
      <c r="F170" s="12"/>
      <c r="G170" s="13"/>
      <c r="H170" s="12"/>
    </row>
    <row r="171" spans="5:8" ht="13.5" customHeight="1" x14ac:dyDescent="0.3">
      <c r="E171" s="12"/>
      <c r="F171" s="12"/>
      <c r="G171" s="13"/>
      <c r="H171" s="12"/>
    </row>
    <row r="172" spans="5:8" ht="13.5" customHeight="1" x14ac:dyDescent="0.3">
      <c r="E172" s="12"/>
      <c r="F172" s="12"/>
      <c r="G172" s="13"/>
      <c r="H172" s="12"/>
    </row>
    <row r="173" spans="5:8" ht="13.5" customHeight="1" x14ac:dyDescent="0.3">
      <c r="E173" s="12"/>
      <c r="F173" s="12"/>
      <c r="G173" s="13"/>
      <c r="H173" s="12"/>
    </row>
    <row r="174" spans="5:8" ht="13.5" customHeight="1" x14ac:dyDescent="0.3">
      <c r="E174" s="12"/>
      <c r="F174" s="12"/>
      <c r="G174" s="13"/>
      <c r="H174" s="12"/>
    </row>
    <row r="175" spans="5:8" ht="13.5" customHeight="1" x14ac:dyDescent="0.3">
      <c r="E175" s="12"/>
      <c r="F175" s="12"/>
      <c r="G175" s="13"/>
      <c r="H175" s="12"/>
    </row>
    <row r="176" spans="5:8" ht="13.5" customHeight="1" x14ac:dyDescent="0.3">
      <c r="E176" s="12"/>
      <c r="F176" s="12"/>
      <c r="G176" s="13"/>
      <c r="H176" s="12"/>
    </row>
    <row r="177" spans="5:8" ht="13.5" customHeight="1" x14ac:dyDescent="0.3">
      <c r="E177" s="12"/>
      <c r="F177" s="12"/>
      <c r="G177" s="13"/>
      <c r="H177" s="12"/>
    </row>
    <row r="178" spans="5:8" ht="13.5" customHeight="1" x14ac:dyDescent="0.3">
      <c r="E178" s="12"/>
      <c r="F178" s="12"/>
      <c r="G178" s="13"/>
      <c r="H178" s="12"/>
    </row>
    <row r="179" spans="5:8" ht="13.5" customHeight="1" x14ac:dyDescent="0.3">
      <c r="E179" s="12"/>
      <c r="F179" s="12"/>
      <c r="G179" s="13"/>
      <c r="H179" s="12"/>
    </row>
    <row r="180" spans="5:8" ht="13.5" customHeight="1" x14ac:dyDescent="0.3">
      <c r="E180" s="12"/>
      <c r="F180" s="12"/>
      <c r="G180" s="13"/>
      <c r="H180" s="12"/>
    </row>
    <row r="181" spans="5:8" ht="13.5" customHeight="1" x14ac:dyDescent="0.3">
      <c r="E181" s="12"/>
      <c r="F181" s="12"/>
      <c r="G181" s="13"/>
      <c r="H181" s="12"/>
    </row>
    <row r="182" spans="5:8" ht="13.5" customHeight="1" x14ac:dyDescent="0.3">
      <c r="E182" s="12"/>
      <c r="F182" s="12"/>
      <c r="G182" s="13"/>
      <c r="H182" s="12"/>
    </row>
    <row r="183" spans="5:8" ht="13.5" customHeight="1" x14ac:dyDescent="0.3">
      <c r="E183" s="12"/>
      <c r="F183" s="12"/>
      <c r="G183" s="13"/>
      <c r="H183" s="12"/>
    </row>
    <row r="184" spans="5:8" ht="13.5" customHeight="1" x14ac:dyDescent="0.3">
      <c r="E184" s="12"/>
      <c r="F184" s="12"/>
      <c r="G184" s="13"/>
      <c r="H184" s="12"/>
    </row>
    <row r="185" spans="5:8" ht="13.5" customHeight="1" x14ac:dyDescent="0.3">
      <c r="E185" s="12"/>
      <c r="F185" s="12"/>
      <c r="G185" s="13"/>
      <c r="H185" s="12"/>
    </row>
    <row r="186" spans="5:8" ht="13.5" customHeight="1" x14ac:dyDescent="0.3">
      <c r="E186" s="12"/>
      <c r="F186" s="12"/>
      <c r="G186" s="13"/>
      <c r="H186" s="12"/>
    </row>
    <row r="187" spans="5:8" ht="13.5" customHeight="1" x14ac:dyDescent="0.3">
      <c r="E187" s="12"/>
      <c r="F187" s="12"/>
      <c r="G187" s="13"/>
      <c r="H187" s="12"/>
    </row>
    <row r="188" spans="5:8" ht="13.5" customHeight="1" x14ac:dyDescent="0.3">
      <c r="E188" s="12"/>
      <c r="F188" s="12"/>
      <c r="G188" s="13"/>
      <c r="H188" s="12"/>
    </row>
    <row r="189" spans="5:8" ht="13.5" customHeight="1" x14ac:dyDescent="0.3">
      <c r="E189" s="12"/>
      <c r="F189" s="12"/>
      <c r="G189" s="13"/>
      <c r="H189" s="12"/>
    </row>
    <row r="190" spans="5:8" ht="13.5" customHeight="1" x14ac:dyDescent="0.3">
      <c r="E190" s="12"/>
      <c r="F190" s="12"/>
      <c r="G190" s="13"/>
      <c r="H190" s="12"/>
    </row>
    <row r="191" spans="5:8" ht="13.5" customHeight="1" x14ac:dyDescent="0.3">
      <c r="E191" s="12"/>
      <c r="F191" s="12"/>
      <c r="G191" s="13"/>
      <c r="H191" s="12"/>
    </row>
    <row r="192" spans="5:8" ht="13.5" customHeight="1" x14ac:dyDescent="0.3">
      <c r="E192" s="12"/>
      <c r="F192" s="12"/>
      <c r="G192" s="13"/>
      <c r="H192" s="12"/>
    </row>
    <row r="193" spans="5:8" ht="13.5" customHeight="1" x14ac:dyDescent="0.3">
      <c r="E193" s="12"/>
      <c r="F193" s="12"/>
      <c r="G193" s="13"/>
      <c r="H193" s="12"/>
    </row>
    <row r="194" spans="5:8" ht="13.5" customHeight="1" x14ac:dyDescent="0.3">
      <c r="E194" s="12"/>
      <c r="F194" s="12"/>
      <c r="G194" s="13"/>
      <c r="H194" s="12"/>
    </row>
    <row r="195" spans="5:8" ht="13.5" customHeight="1" x14ac:dyDescent="0.3">
      <c r="E195" s="12"/>
      <c r="F195" s="12"/>
      <c r="G195" s="13"/>
      <c r="H195" s="12"/>
    </row>
    <row r="196" spans="5:8" ht="13.5" customHeight="1" x14ac:dyDescent="0.3">
      <c r="E196" s="12"/>
      <c r="F196" s="12"/>
      <c r="G196" s="13"/>
      <c r="H196" s="12"/>
    </row>
    <row r="197" spans="5:8" ht="13.5" customHeight="1" x14ac:dyDescent="0.3">
      <c r="E197" s="12"/>
      <c r="F197" s="12"/>
      <c r="G197" s="13"/>
      <c r="H197" s="12"/>
    </row>
    <row r="198" spans="5:8" ht="13.5" customHeight="1" x14ac:dyDescent="0.3">
      <c r="E198" s="12"/>
      <c r="F198" s="12"/>
      <c r="G198" s="13"/>
      <c r="H198" s="12"/>
    </row>
    <row r="199" spans="5:8" ht="13.5" customHeight="1" x14ac:dyDescent="0.3">
      <c r="E199" s="12"/>
      <c r="F199" s="12"/>
      <c r="G199" s="13"/>
      <c r="H199" s="12"/>
    </row>
    <row r="200" spans="5:8" ht="13.5" customHeight="1" x14ac:dyDescent="0.3">
      <c r="E200" s="12"/>
      <c r="F200" s="12"/>
      <c r="G200" s="13"/>
      <c r="H200" s="12"/>
    </row>
    <row r="201" spans="5:8" ht="13.5" customHeight="1" x14ac:dyDescent="0.3">
      <c r="E201" s="12"/>
      <c r="F201" s="12"/>
      <c r="G201" s="13"/>
      <c r="H201" s="12"/>
    </row>
    <row r="202" spans="5:8" ht="13.5" customHeight="1" x14ac:dyDescent="0.3">
      <c r="E202" s="12"/>
      <c r="F202" s="12"/>
      <c r="G202" s="13"/>
      <c r="H202" s="12"/>
    </row>
    <row r="203" spans="5:8" ht="13.5" customHeight="1" x14ac:dyDescent="0.3">
      <c r="E203" s="12"/>
      <c r="F203" s="12"/>
      <c r="G203" s="13"/>
      <c r="H203" s="12"/>
    </row>
    <row r="204" spans="5:8" ht="13.5" customHeight="1" x14ac:dyDescent="0.3">
      <c r="E204" s="12"/>
      <c r="F204" s="12"/>
      <c r="G204" s="13"/>
      <c r="H204" s="12"/>
    </row>
    <row r="205" spans="5:8" ht="13.5" customHeight="1" x14ac:dyDescent="0.3">
      <c r="E205" s="12"/>
      <c r="F205" s="12"/>
      <c r="G205" s="13"/>
      <c r="H205" s="12"/>
    </row>
    <row r="206" spans="5:8" ht="13.5" customHeight="1" x14ac:dyDescent="0.3">
      <c r="E206" s="12"/>
      <c r="F206" s="12"/>
      <c r="G206" s="13"/>
      <c r="H206" s="12"/>
    </row>
    <row r="207" spans="5:8" ht="13.5" customHeight="1" x14ac:dyDescent="0.3">
      <c r="E207" s="12"/>
      <c r="F207" s="12"/>
      <c r="G207" s="13"/>
      <c r="H207" s="12"/>
    </row>
    <row r="208" spans="5:8" ht="13.5" customHeight="1" x14ac:dyDescent="0.3">
      <c r="E208" s="12"/>
      <c r="F208" s="12"/>
      <c r="G208" s="13"/>
      <c r="H208" s="12"/>
    </row>
    <row r="209" spans="5:8" ht="13.5" customHeight="1" x14ac:dyDescent="0.3">
      <c r="E209" s="12"/>
      <c r="F209" s="12"/>
      <c r="G209" s="13"/>
      <c r="H209" s="12"/>
    </row>
    <row r="210" spans="5:8" ht="13.5" customHeight="1" x14ac:dyDescent="0.3">
      <c r="E210" s="12"/>
      <c r="F210" s="12"/>
      <c r="G210" s="13"/>
      <c r="H210" s="12"/>
    </row>
    <row r="211" spans="5:8" ht="13.5" customHeight="1" x14ac:dyDescent="0.3">
      <c r="E211" s="12"/>
      <c r="F211" s="12"/>
      <c r="G211" s="13"/>
      <c r="H211" s="12"/>
    </row>
    <row r="212" spans="5:8" ht="13.5" customHeight="1" x14ac:dyDescent="0.3">
      <c r="E212" s="12"/>
      <c r="F212" s="12"/>
      <c r="G212" s="13"/>
      <c r="H212" s="12"/>
    </row>
    <row r="213" spans="5:8" ht="13.5" customHeight="1" x14ac:dyDescent="0.3">
      <c r="E213" s="12"/>
      <c r="F213" s="12"/>
      <c r="G213" s="13"/>
      <c r="H213" s="12"/>
    </row>
    <row r="214" spans="5:8" ht="13.5" customHeight="1" x14ac:dyDescent="0.3">
      <c r="E214" s="12"/>
      <c r="F214" s="12"/>
      <c r="G214" s="13"/>
      <c r="H214" s="12"/>
    </row>
    <row r="215" spans="5:8" ht="13.5" customHeight="1" x14ac:dyDescent="0.3">
      <c r="E215" s="12"/>
      <c r="F215" s="12"/>
      <c r="G215" s="13"/>
      <c r="H215" s="12"/>
    </row>
    <row r="216" spans="5:8" ht="13.5" customHeight="1" x14ac:dyDescent="0.3">
      <c r="E216" s="12"/>
      <c r="F216" s="12"/>
      <c r="G216" s="13"/>
      <c r="H216" s="12"/>
    </row>
    <row r="217" spans="5:8" ht="13.5" customHeight="1" x14ac:dyDescent="0.3">
      <c r="E217" s="12"/>
      <c r="F217" s="12"/>
      <c r="G217" s="13"/>
      <c r="H217" s="12"/>
    </row>
    <row r="218" spans="5:8" ht="13.5" customHeight="1" x14ac:dyDescent="0.3">
      <c r="E218" s="12"/>
      <c r="F218" s="12"/>
      <c r="G218" s="13"/>
      <c r="H218" s="12"/>
    </row>
    <row r="219" spans="5:8" ht="13.5" customHeight="1" x14ac:dyDescent="0.3">
      <c r="E219" s="12"/>
      <c r="F219" s="12"/>
      <c r="G219" s="13"/>
      <c r="H219" s="12"/>
    </row>
    <row r="220" spans="5:8" ht="13.5" customHeight="1" x14ac:dyDescent="0.3">
      <c r="E220" s="12"/>
      <c r="F220" s="12"/>
      <c r="G220" s="13"/>
      <c r="H220" s="12"/>
    </row>
    <row r="221" spans="5:8" ht="13.5" customHeight="1" x14ac:dyDescent="0.3">
      <c r="E221" s="12"/>
      <c r="F221" s="12"/>
      <c r="G221" s="13"/>
      <c r="H221" s="12"/>
    </row>
    <row r="222" spans="5:8" ht="13.5" customHeight="1" x14ac:dyDescent="0.3">
      <c r="E222" s="12"/>
      <c r="F222" s="12"/>
      <c r="G222" s="13"/>
      <c r="H222" s="12"/>
    </row>
    <row r="223" spans="5:8" ht="13.5" customHeight="1" x14ac:dyDescent="0.3">
      <c r="E223" s="12"/>
      <c r="F223" s="12"/>
      <c r="G223" s="13"/>
      <c r="H223" s="12"/>
    </row>
    <row r="224" spans="5:8" ht="13.5" customHeight="1" x14ac:dyDescent="0.3">
      <c r="E224" s="12"/>
      <c r="F224" s="12"/>
      <c r="G224" s="13"/>
      <c r="H224" s="12"/>
    </row>
    <row r="225" spans="5:8" ht="13.5" customHeight="1" x14ac:dyDescent="0.3">
      <c r="E225" s="12"/>
      <c r="F225" s="12"/>
      <c r="G225" s="13"/>
      <c r="H225" s="12"/>
    </row>
    <row r="226" spans="5:8" ht="13.5" customHeight="1" x14ac:dyDescent="0.3">
      <c r="E226" s="12"/>
      <c r="F226" s="12"/>
      <c r="G226" s="13"/>
      <c r="H226" s="12"/>
    </row>
    <row r="227" spans="5:8" ht="13.5" customHeight="1" x14ac:dyDescent="0.3">
      <c r="E227" s="12"/>
      <c r="F227" s="12"/>
      <c r="G227" s="13"/>
      <c r="H227" s="12"/>
    </row>
    <row r="228" spans="5:8" ht="13.5" customHeight="1" x14ac:dyDescent="0.3">
      <c r="E228" s="12"/>
      <c r="F228" s="12"/>
      <c r="G228" s="13"/>
      <c r="H228" s="12"/>
    </row>
    <row r="229" spans="5:8" ht="13.5" customHeight="1" x14ac:dyDescent="0.3">
      <c r="E229" s="12"/>
      <c r="F229" s="12"/>
      <c r="G229" s="13"/>
      <c r="H229" s="12"/>
    </row>
    <row r="230" spans="5:8" ht="13.5" customHeight="1" x14ac:dyDescent="0.3">
      <c r="E230" s="12"/>
      <c r="F230" s="12"/>
      <c r="G230" s="13"/>
      <c r="H230" s="12"/>
    </row>
    <row r="231" spans="5:8" ht="13.5" customHeight="1" x14ac:dyDescent="0.3">
      <c r="E231" s="12"/>
      <c r="F231" s="12"/>
      <c r="G231" s="13"/>
      <c r="H231" s="12"/>
    </row>
    <row r="232" spans="5:8" ht="13.5" customHeight="1" x14ac:dyDescent="0.3">
      <c r="E232" s="12"/>
      <c r="F232" s="12"/>
      <c r="G232" s="13"/>
      <c r="H232" s="12"/>
    </row>
    <row r="233" spans="5:8" ht="13.5" customHeight="1" x14ac:dyDescent="0.3">
      <c r="E233" s="12"/>
      <c r="F233" s="12"/>
      <c r="G233" s="13"/>
      <c r="H233" s="12"/>
    </row>
    <row r="234" spans="5:8" ht="13.5" customHeight="1" x14ac:dyDescent="0.3">
      <c r="E234" s="12"/>
      <c r="F234" s="12"/>
      <c r="G234" s="13"/>
      <c r="H234" s="12"/>
    </row>
    <row r="235" spans="5:8" ht="13.5" customHeight="1" x14ac:dyDescent="0.3">
      <c r="E235" s="12"/>
      <c r="F235" s="12"/>
      <c r="G235" s="13"/>
      <c r="H235" s="12"/>
    </row>
    <row r="236" spans="5:8" ht="13.5" customHeight="1" x14ac:dyDescent="0.3">
      <c r="E236" s="12"/>
      <c r="F236" s="12"/>
      <c r="G236" s="13"/>
      <c r="H236" s="12"/>
    </row>
    <row r="237" spans="5:8" ht="13.5" customHeight="1" x14ac:dyDescent="0.3">
      <c r="E237" s="12"/>
      <c r="F237" s="12"/>
      <c r="G237" s="13"/>
      <c r="H237" s="12"/>
    </row>
    <row r="238" spans="5:8" ht="13.5" customHeight="1" x14ac:dyDescent="0.3">
      <c r="E238" s="12"/>
      <c r="F238" s="12"/>
      <c r="G238" s="13"/>
      <c r="H238" s="12"/>
    </row>
    <row r="239" spans="5:8" ht="13.5" customHeight="1" x14ac:dyDescent="0.3">
      <c r="E239" s="12"/>
      <c r="F239" s="12"/>
      <c r="G239" s="13"/>
      <c r="H239" s="12"/>
    </row>
    <row r="240" spans="5:8" ht="13.5" customHeight="1" x14ac:dyDescent="0.3">
      <c r="E240" s="12"/>
      <c r="F240" s="12"/>
      <c r="G240" s="13"/>
      <c r="H240" s="12"/>
    </row>
    <row r="241" spans="5:8" ht="13.5" customHeight="1" x14ac:dyDescent="0.3">
      <c r="E241" s="12"/>
      <c r="F241" s="12"/>
      <c r="G241" s="13"/>
      <c r="H241" s="12"/>
    </row>
    <row r="242" spans="5:8" ht="13.5" customHeight="1" x14ac:dyDescent="0.3">
      <c r="E242" s="12"/>
      <c r="F242" s="12"/>
      <c r="G242" s="13"/>
      <c r="H242" s="12"/>
    </row>
    <row r="243" spans="5:8" ht="13.5" customHeight="1" x14ac:dyDescent="0.3">
      <c r="E243" s="12"/>
      <c r="F243" s="12"/>
      <c r="G243" s="13"/>
      <c r="H243" s="12"/>
    </row>
    <row r="244" spans="5:8" ht="13.5" customHeight="1" x14ac:dyDescent="0.3">
      <c r="E244" s="12"/>
      <c r="F244" s="12"/>
      <c r="G244" s="13"/>
      <c r="H244" s="12"/>
    </row>
    <row r="245" spans="5:8" ht="13.5" customHeight="1" x14ac:dyDescent="0.3">
      <c r="E245" s="12"/>
      <c r="F245" s="12"/>
      <c r="G245" s="13"/>
      <c r="H245" s="12"/>
    </row>
    <row r="246" spans="5:8" ht="13.5" customHeight="1" x14ac:dyDescent="0.3">
      <c r="E246" s="12"/>
      <c r="F246" s="12"/>
      <c r="G246" s="13"/>
      <c r="H246" s="12"/>
    </row>
    <row r="247" spans="5:8" ht="13.5" customHeight="1" x14ac:dyDescent="0.3">
      <c r="E247" s="12"/>
      <c r="F247" s="12"/>
      <c r="G247" s="13"/>
      <c r="H247" s="12"/>
    </row>
    <row r="248" spans="5:8" ht="13.5" customHeight="1" x14ac:dyDescent="0.3">
      <c r="E248" s="12"/>
      <c r="F248" s="12"/>
      <c r="G248" s="13"/>
      <c r="H248" s="12"/>
    </row>
    <row r="249" spans="5:8" ht="13.5" customHeight="1" x14ac:dyDescent="0.3">
      <c r="E249" s="12"/>
      <c r="F249" s="12"/>
      <c r="G249" s="13"/>
      <c r="H249" s="12"/>
    </row>
    <row r="250" spans="5:8" ht="13.5" customHeight="1" x14ac:dyDescent="0.3">
      <c r="E250" s="12"/>
      <c r="F250" s="12"/>
      <c r="G250" s="13"/>
      <c r="H250" s="12"/>
    </row>
    <row r="251" spans="5:8" ht="13.5" customHeight="1" x14ac:dyDescent="0.3">
      <c r="E251" s="12"/>
      <c r="F251" s="12"/>
      <c r="G251" s="13"/>
      <c r="H251" s="12"/>
    </row>
    <row r="252" spans="5:8" ht="13.5" customHeight="1" x14ac:dyDescent="0.3">
      <c r="E252" s="12"/>
      <c r="F252" s="12"/>
      <c r="G252" s="13"/>
      <c r="H252" s="12"/>
    </row>
    <row r="253" spans="5:8" ht="13.5" customHeight="1" x14ac:dyDescent="0.3">
      <c r="E253" s="12"/>
      <c r="F253" s="12"/>
      <c r="G253" s="13"/>
      <c r="H253" s="12"/>
    </row>
    <row r="254" spans="5:8" ht="13.5" customHeight="1" x14ac:dyDescent="0.3">
      <c r="E254" s="12"/>
      <c r="F254" s="12"/>
      <c r="G254" s="13"/>
      <c r="H254" s="12"/>
    </row>
    <row r="255" spans="5:8" ht="13.5" customHeight="1" x14ac:dyDescent="0.3">
      <c r="E255" s="12"/>
      <c r="F255" s="12"/>
      <c r="G255" s="13"/>
      <c r="H255" s="12"/>
    </row>
    <row r="256" spans="5:8" ht="13.5" customHeight="1" x14ac:dyDescent="0.3">
      <c r="E256" s="12"/>
      <c r="F256" s="12"/>
      <c r="G256" s="13"/>
      <c r="H256" s="12"/>
    </row>
    <row r="257" spans="5:8" ht="13.5" customHeight="1" x14ac:dyDescent="0.3">
      <c r="E257" s="12"/>
      <c r="F257" s="12"/>
      <c r="G257" s="13"/>
      <c r="H257" s="12"/>
    </row>
    <row r="258" spans="5:8" ht="13.5" customHeight="1" x14ac:dyDescent="0.3">
      <c r="E258" s="12"/>
      <c r="F258" s="12"/>
      <c r="G258" s="13"/>
      <c r="H258" s="12"/>
    </row>
    <row r="259" spans="5:8" ht="13.5" customHeight="1" x14ac:dyDescent="0.3">
      <c r="E259" s="12"/>
      <c r="F259" s="12"/>
      <c r="G259" s="13"/>
      <c r="H259" s="12"/>
    </row>
    <row r="260" spans="5:8" ht="13.5" customHeight="1" x14ac:dyDescent="0.3">
      <c r="E260" s="12"/>
      <c r="F260" s="12"/>
      <c r="G260" s="13"/>
      <c r="H260" s="12"/>
    </row>
    <row r="261" spans="5:8" ht="13.5" customHeight="1" x14ac:dyDescent="0.3">
      <c r="E261" s="12"/>
      <c r="F261" s="12"/>
      <c r="G261" s="13"/>
      <c r="H261" s="12"/>
    </row>
    <row r="262" spans="5:8" ht="13.5" customHeight="1" x14ac:dyDescent="0.3">
      <c r="E262" s="12"/>
      <c r="F262" s="12"/>
      <c r="G262" s="13"/>
      <c r="H262" s="12"/>
    </row>
    <row r="263" spans="5:8" ht="13.5" customHeight="1" x14ac:dyDescent="0.3">
      <c r="E263" s="12"/>
      <c r="F263" s="12"/>
      <c r="G263" s="13"/>
      <c r="H263" s="12"/>
    </row>
    <row r="264" spans="5:8" ht="13.5" customHeight="1" x14ac:dyDescent="0.3">
      <c r="E264" s="12"/>
      <c r="F264" s="12"/>
      <c r="G264" s="13"/>
      <c r="H264" s="12"/>
    </row>
    <row r="265" spans="5:8" ht="13.5" customHeight="1" x14ac:dyDescent="0.3">
      <c r="E265" s="12"/>
      <c r="F265" s="12"/>
      <c r="G265" s="13"/>
      <c r="H265" s="12"/>
    </row>
    <row r="266" spans="5:8" ht="13.5" customHeight="1" x14ac:dyDescent="0.3">
      <c r="E266" s="12"/>
      <c r="F266" s="12"/>
      <c r="G266" s="13"/>
      <c r="H266" s="12"/>
    </row>
    <row r="267" spans="5:8" ht="13.5" customHeight="1" x14ac:dyDescent="0.3">
      <c r="E267" s="12"/>
      <c r="F267" s="12"/>
      <c r="G267" s="13"/>
      <c r="H267" s="12"/>
    </row>
    <row r="268" spans="5:8" ht="13.5" customHeight="1" x14ac:dyDescent="0.3">
      <c r="E268" s="12"/>
      <c r="F268" s="12"/>
      <c r="G268" s="13"/>
      <c r="H268" s="12"/>
    </row>
    <row r="269" spans="5:8" ht="13.5" customHeight="1" x14ac:dyDescent="0.3">
      <c r="E269" s="12"/>
      <c r="F269" s="12"/>
      <c r="G269" s="13"/>
      <c r="H269" s="12"/>
    </row>
    <row r="270" spans="5:8" ht="13.5" customHeight="1" x14ac:dyDescent="0.3">
      <c r="E270" s="12"/>
      <c r="F270" s="12"/>
      <c r="G270" s="13"/>
      <c r="H270" s="12"/>
    </row>
    <row r="271" spans="5:8" ht="13.5" customHeight="1" x14ac:dyDescent="0.3">
      <c r="E271" s="12"/>
      <c r="F271" s="12"/>
      <c r="G271" s="13"/>
      <c r="H271" s="12"/>
    </row>
    <row r="272" spans="5:8" ht="13.5" customHeight="1" x14ac:dyDescent="0.3">
      <c r="E272" s="12"/>
      <c r="F272" s="12"/>
      <c r="G272" s="13"/>
      <c r="H272" s="12"/>
    </row>
    <row r="273" spans="5:8" ht="13.5" customHeight="1" x14ac:dyDescent="0.3">
      <c r="E273" s="12"/>
      <c r="F273" s="12"/>
      <c r="G273" s="13"/>
      <c r="H273" s="12"/>
    </row>
    <row r="274" spans="5:8" ht="13.5" customHeight="1" x14ac:dyDescent="0.3">
      <c r="E274" s="12"/>
      <c r="F274" s="12"/>
      <c r="G274" s="13"/>
      <c r="H274" s="12"/>
    </row>
    <row r="275" spans="5:8" ht="13.5" customHeight="1" x14ac:dyDescent="0.3">
      <c r="E275" s="12"/>
      <c r="F275" s="12"/>
      <c r="G275" s="13"/>
      <c r="H275" s="12"/>
    </row>
    <row r="276" spans="5:8" ht="13.5" customHeight="1" x14ac:dyDescent="0.3">
      <c r="E276" s="12"/>
      <c r="F276" s="12"/>
      <c r="G276" s="13"/>
      <c r="H276" s="12"/>
    </row>
    <row r="277" spans="5:8" ht="13.5" customHeight="1" x14ac:dyDescent="0.3">
      <c r="E277" s="12"/>
      <c r="F277" s="12"/>
      <c r="G277" s="13"/>
      <c r="H277" s="12"/>
    </row>
    <row r="278" spans="5:8" ht="13.5" customHeight="1" x14ac:dyDescent="0.3">
      <c r="E278" s="12"/>
      <c r="F278" s="12"/>
      <c r="G278" s="13"/>
      <c r="H278" s="12"/>
    </row>
    <row r="279" spans="5:8" ht="13.5" customHeight="1" x14ac:dyDescent="0.3">
      <c r="E279" s="12"/>
      <c r="F279" s="12"/>
      <c r="G279" s="13"/>
      <c r="H279" s="12"/>
    </row>
    <row r="280" spans="5:8" ht="13.5" customHeight="1" x14ac:dyDescent="0.3">
      <c r="E280" s="12"/>
      <c r="F280" s="12"/>
      <c r="G280" s="13"/>
      <c r="H280" s="12"/>
    </row>
    <row r="281" spans="5:8" ht="13.5" customHeight="1" x14ac:dyDescent="0.3">
      <c r="E281" s="12"/>
      <c r="F281" s="12"/>
      <c r="G281" s="13"/>
      <c r="H281" s="12"/>
    </row>
    <row r="282" spans="5:8" ht="13.5" customHeight="1" x14ac:dyDescent="0.3">
      <c r="E282" s="12"/>
      <c r="F282" s="12"/>
      <c r="G282" s="13"/>
      <c r="H282" s="12"/>
    </row>
    <row r="283" spans="5:8" ht="13.5" customHeight="1" x14ac:dyDescent="0.3">
      <c r="E283" s="12"/>
      <c r="F283" s="12"/>
      <c r="G283" s="13"/>
      <c r="H283" s="12"/>
    </row>
    <row r="284" spans="5:8" ht="13.5" customHeight="1" x14ac:dyDescent="0.3">
      <c r="E284" s="12"/>
      <c r="F284" s="12"/>
      <c r="G284" s="13"/>
      <c r="H284" s="12"/>
    </row>
    <row r="285" spans="5:8" ht="13.5" customHeight="1" x14ac:dyDescent="0.3">
      <c r="E285" s="12"/>
      <c r="F285" s="12"/>
      <c r="G285" s="13"/>
      <c r="H285" s="12"/>
    </row>
    <row r="286" spans="5:8" ht="13.5" customHeight="1" x14ac:dyDescent="0.3">
      <c r="E286" s="12"/>
      <c r="F286" s="12"/>
      <c r="G286" s="13"/>
      <c r="H286" s="12"/>
    </row>
    <row r="287" spans="5:8" ht="13.5" customHeight="1" x14ac:dyDescent="0.3">
      <c r="E287" s="12"/>
      <c r="F287" s="12"/>
      <c r="G287" s="13"/>
      <c r="H287" s="12"/>
    </row>
    <row r="288" spans="5:8" ht="13.5" customHeight="1" x14ac:dyDescent="0.3">
      <c r="E288" s="12"/>
      <c r="F288" s="12"/>
      <c r="G288" s="13"/>
      <c r="H288" s="12"/>
    </row>
    <row r="289" spans="5:8" ht="13.5" customHeight="1" x14ac:dyDescent="0.3">
      <c r="E289" s="12"/>
      <c r="F289" s="12"/>
      <c r="G289" s="13"/>
      <c r="H289" s="12"/>
    </row>
    <row r="290" spans="5:8" ht="13.5" customHeight="1" x14ac:dyDescent="0.3">
      <c r="E290" s="12"/>
      <c r="F290" s="12"/>
      <c r="G290" s="13"/>
      <c r="H290" s="12"/>
    </row>
    <row r="291" spans="5:8" ht="13.5" customHeight="1" x14ac:dyDescent="0.3">
      <c r="E291" s="12"/>
      <c r="F291" s="12"/>
      <c r="G291" s="13"/>
      <c r="H291" s="12"/>
    </row>
    <row r="292" spans="5:8" ht="13.5" customHeight="1" x14ac:dyDescent="0.3">
      <c r="E292" s="12"/>
      <c r="F292" s="12"/>
      <c r="G292" s="13"/>
      <c r="H292" s="12"/>
    </row>
    <row r="293" spans="5:8" ht="13.5" customHeight="1" x14ac:dyDescent="0.3">
      <c r="E293" s="12"/>
      <c r="F293" s="12"/>
      <c r="G293" s="13"/>
      <c r="H293" s="12"/>
    </row>
    <row r="294" spans="5:8" ht="13.5" customHeight="1" x14ac:dyDescent="0.3">
      <c r="E294" s="12"/>
      <c r="F294" s="12"/>
      <c r="G294" s="13"/>
      <c r="H294" s="12"/>
    </row>
    <row r="295" spans="5:8" ht="13.5" customHeight="1" x14ac:dyDescent="0.3">
      <c r="E295" s="12"/>
      <c r="F295" s="12"/>
      <c r="G295" s="13"/>
      <c r="H295" s="12"/>
    </row>
    <row r="296" spans="5:8" ht="13.5" customHeight="1" x14ac:dyDescent="0.3">
      <c r="E296" s="12"/>
      <c r="F296" s="12"/>
      <c r="G296" s="13"/>
      <c r="H296" s="12"/>
    </row>
    <row r="297" spans="5:8" ht="13.5" customHeight="1" x14ac:dyDescent="0.3">
      <c r="E297" s="12"/>
      <c r="F297" s="12"/>
      <c r="G297" s="13"/>
      <c r="H297" s="12"/>
    </row>
    <row r="298" spans="5:8" ht="13.5" customHeight="1" x14ac:dyDescent="0.3">
      <c r="E298" s="12"/>
      <c r="F298" s="12"/>
      <c r="G298" s="13"/>
      <c r="H298" s="12"/>
    </row>
    <row r="299" spans="5:8" ht="13.5" customHeight="1" x14ac:dyDescent="0.3">
      <c r="E299" s="12"/>
      <c r="F299" s="12"/>
      <c r="G299" s="13"/>
      <c r="H299" s="12"/>
    </row>
    <row r="300" spans="5:8" ht="13.5" customHeight="1" x14ac:dyDescent="0.3">
      <c r="E300" s="12"/>
      <c r="F300" s="12"/>
      <c r="G300" s="13"/>
      <c r="H300" s="12"/>
    </row>
    <row r="301" spans="5:8" ht="13.5" customHeight="1" x14ac:dyDescent="0.3">
      <c r="E301" s="12"/>
      <c r="F301" s="12"/>
      <c r="G301" s="13"/>
      <c r="H301" s="12"/>
    </row>
    <row r="302" spans="5:8" ht="13.5" customHeight="1" x14ac:dyDescent="0.3">
      <c r="E302" s="12"/>
      <c r="F302" s="12"/>
      <c r="G302" s="13"/>
      <c r="H302" s="12"/>
    </row>
    <row r="303" spans="5:8" ht="13.5" customHeight="1" x14ac:dyDescent="0.3">
      <c r="E303" s="12"/>
      <c r="F303" s="12"/>
      <c r="G303" s="13"/>
      <c r="H303" s="12"/>
    </row>
    <row r="304" spans="5:8" ht="13.5" customHeight="1" x14ac:dyDescent="0.3">
      <c r="E304" s="12"/>
      <c r="F304" s="12"/>
      <c r="G304" s="13"/>
      <c r="H304" s="12"/>
    </row>
    <row r="305" spans="5:8" ht="13.5" customHeight="1" x14ac:dyDescent="0.3">
      <c r="E305" s="12"/>
      <c r="F305" s="12"/>
      <c r="G305" s="13"/>
      <c r="H305" s="12"/>
    </row>
    <row r="306" spans="5:8" ht="13.5" customHeight="1" x14ac:dyDescent="0.3">
      <c r="E306" s="12"/>
      <c r="F306" s="12"/>
      <c r="G306" s="13"/>
      <c r="H306" s="12"/>
    </row>
    <row r="307" spans="5:8" ht="13.5" customHeight="1" x14ac:dyDescent="0.3">
      <c r="E307" s="12"/>
      <c r="F307" s="12"/>
      <c r="G307" s="13"/>
      <c r="H307" s="12"/>
    </row>
    <row r="308" spans="5:8" ht="13.5" customHeight="1" x14ac:dyDescent="0.3">
      <c r="E308" s="12"/>
      <c r="F308" s="12"/>
      <c r="G308" s="13"/>
      <c r="H308" s="12"/>
    </row>
    <row r="309" spans="5:8" ht="13.5" customHeight="1" x14ac:dyDescent="0.3">
      <c r="E309" s="12"/>
      <c r="F309" s="12"/>
      <c r="G309" s="13"/>
      <c r="H309" s="12"/>
    </row>
    <row r="310" spans="5:8" ht="13.5" customHeight="1" x14ac:dyDescent="0.3">
      <c r="E310" s="12"/>
      <c r="F310" s="12"/>
      <c r="G310" s="13"/>
      <c r="H310" s="12"/>
    </row>
    <row r="311" spans="5:8" ht="13.5" customHeight="1" x14ac:dyDescent="0.3">
      <c r="E311" s="12"/>
      <c r="F311" s="12"/>
      <c r="G311" s="13"/>
      <c r="H311" s="12"/>
    </row>
    <row r="312" spans="5:8" ht="13.5" customHeight="1" x14ac:dyDescent="0.3">
      <c r="E312" s="12"/>
      <c r="F312" s="12"/>
      <c r="G312" s="13"/>
      <c r="H312" s="12"/>
    </row>
    <row r="313" spans="5:8" ht="13.5" customHeight="1" x14ac:dyDescent="0.3">
      <c r="E313" s="12"/>
      <c r="F313" s="12"/>
      <c r="G313" s="13"/>
      <c r="H313" s="12"/>
    </row>
    <row r="314" spans="5:8" ht="13.5" customHeight="1" x14ac:dyDescent="0.3">
      <c r="E314" s="12"/>
      <c r="F314" s="12"/>
      <c r="G314" s="13"/>
      <c r="H314" s="12"/>
    </row>
    <row r="315" spans="5:8" ht="13.5" customHeight="1" x14ac:dyDescent="0.3">
      <c r="E315" s="12"/>
      <c r="F315" s="12"/>
      <c r="G315" s="13"/>
      <c r="H315" s="12"/>
    </row>
    <row r="316" spans="5:8" ht="13.5" customHeight="1" x14ac:dyDescent="0.3">
      <c r="E316" s="12"/>
      <c r="F316" s="12"/>
      <c r="G316" s="13"/>
      <c r="H316" s="12"/>
    </row>
    <row r="317" spans="5:8" ht="13.5" customHeight="1" x14ac:dyDescent="0.3">
      <c r="E317" s="12"/>
      <c r="F317" s="12"/>
      <c r="G317" s="13"/>
      <c r="H317" s="12"/>
    </row>
    <row r="318" spans="5:8" ht="13.5" customHeight="1" x14ac:dyDescent="0.3">
      <c r="E318" s="12"/>
      <c r="F318" s="12"/>
      <c r="G318" s="13"/>
      <c r="H318" s="12"/>
    </row>
    <row r="319" spans="5:8" ht="13.5" customHeight="1" x14ac:dyDescent="0.3">
      <c r="E319" s="12"/>
      <c r="F319" s="12"/>
      <c r="G319" s="13"/>
      <c r="H319" s="12"/>
    </row>
    <row r="320" spans="5:8" ht="13.5" customHeight="1" x14ac:dyDescent="0.3">
      <c r="E320" s="12"/>
      <c r="F320" s="12"/>
      <c r="G320" s="13"/>
      <c r="H320" s="12"/>
    </row>
    <row r="321" spans="5:8" ht="13.5" customHeight="1" x14ac:dyDescent="0.3">
      <c r="E321" s="12"/>
      <c r="F321" s="12"/>
      <c r="G321" s="13"/>
      <c r="H321" s="12"/>
    </row>
    <row r="322" spans="5:8" ht="13.5" customHeight="1" x14ac:dyDescent="0.3">
      <c r="E322" s="12"/>
      <c r="F322" s="12"/>
      <c r="G322" s="13"/>
      <c r="H322" s="12"/>
    </row>
    <row r="323" spans="5:8" ht="13.5" customHeight="1" x14ac:dyDescent="0.3">
      <c r="E323" s="12"/>
      <c r="F323" s="12"/>
      <c r="G323" s="13"/>
      <c r="H323" s="12"/>
    </row>
    <row r="324" spans="5:8" ht="13.5" customHeight="1" x14ac:dyDescent="0.3">
      <c r="E324" s="12"/>
      <c r="F324" s="12"/>
      <c r="G324" s="13"/>
      <c r="H324" s="12"/>
    </row>
    <row r="325" spans="5:8" ht="13.5" customHeight="1" x14ac:dyDescent="0.3">
      <c r="E325" s="12"/>
      <c r="F325" s="12"/>
      <c r="G325" s="13"/>
      <c r="H325" s="12"/>
    </row>
    <row r="326" spans="5:8" ht="13.5" customHeight="1" x14ac:dyDescent="0.3">
      <c r="E326" s="12"/>
      <c r="F326" s="12"/>
      <c r="G326" s="13"/>
      <c r="H326" s="12"/>
    </row>
    <row r="327" spans="5:8" ht="13.5" customHeight="1" x14ac:dyDescent="0.3">
      <c r="E327" s="12"/>
      <c r="F327" s="12"/>
      <c r="G327" s="13"/>
      <c r="H327" s="12"/>
    </row>
    <row r="328" spans="5:8" ht="13.5" customHeight="1" x14ac:dyDescent="0.3">
      <c r="E328" s="12"/>
      <c r="F328" s="12"/>
      <c r="G328" s="13"/>
      <c r="H328" s="12"/>
    </row>
    <row r="329" spans="5:8" ht="13.5" customHeight="1" x14ac:dyDescent="0.3">
      <c r="E329" s="12"/>
      <c r="F329" s="12"/>
      <c r="G329" s="13"/>
      <c r="H329" s="12"/>
    </row>
    <row r="330" spans="5:8" ht="13.5" customHeight="1" x14ac:dyDescent="0.3">
      <c r="E330" s="12"/>
      <c r="F330" s="12"/>
      <c r="G330" s="13"/>
      <c r="H330" s="12"/>
    </row>
    <row r="331" spans="5:8" ht="13.5" customHeight="1" x14ac:dyDescent="0.3">
      <c r="E331" s="12"/>
      <c r="F331" s="12"/>
      <c r="G331" s="13"/>
      <c r="H331" s="12"/>
    </row>
    <row r="332" spans="5:8" ht="13.5" customHeight="1" x14ac:dyDescent="0.3">
      <c r="E332" s="12"/>
      <c r="F332" s="12"/>
      <c r="G332" s="13"/>
      <c r="H332" s="12"/>
    </row>
    <row r="333" spans="5:8" ht="13.5" customHeight="1" x14ac:dyDescent="0.3">
      <c r="E333" s="12"/>
      <c r="F333" s="12"/>
      <c r="G333" s="13"/>
      <c r="H333" s="12"/>
    </row>
    <row r="334" spans="5:8" ht="13.5" customHeight="1" x14ac:dyDescent="0.3">
      <c r="E334" s="12"/>
      <c r="F334" s="12"/>
      <c r="G334" s="13"/>
      <c r="H334" s="12"/>
    </row>
    <row r="335" spans="5:8" ht="13.5" customHeight="1" x14ac:dyDescent="0.3">
      <c r="E335" s="12"/>
      <c r="F335" s="12"/>
      <c r="G335" s="13"/>
      <c r="H335" s="12"/>
    </row>
    <row r="336" spans="5:8" ht="13.5" customHeight="1" x14ac:dyDescent="0.3">
      <c r="E336" s="12"/>
      <c r="F336" s="12"/>
      <c r="G336" s="13"/>
      <c r="H336" s="12"/>
    </row>
    <row r="337" spans="5:8" ht="13.5" customHeight="1" x14ac:dyDescent="0.3">
      <c r="E337" s="12"/>
      <c r="F337" s="12"/>
      <c r="G337" s="13"/>
      <c r="H337" s="12"/>
    </row>
    <row r="338" spans="5:8" ht="13.5" customHeight="1" x14ac:dyDescent="0.3">
      <c r="E338" s="12"/>
      <c r="F338" s="12"/>
      <c r="G338" s="13"/>
      <c r="H338" s="12"/>
    </row>
    <row r="339" spans="5:8" ht="13.5" customHeight="1" x14ac:dyDescent="0.3">
      <c r="E339" s="12"/>
      <c r="F339" s="12"/>
      <c r="G339" s="13"/>
      <c r="H339" s="12"/>
    </row>
    <row r="340" spans="5:8" ht="13.5" customHeight="1" x14ac:dyDescent="0.3">
      <c r="E340" s="12"/>
      <c r="F340" s="12"/>
      <c r="G340" s="13"/>
      <c r="H340" s="12"/>
    </row>
    <row r="341" spans="5:8" ht="13.5" customHeight="1" x14ac:dyDescent="0.3">
      <c r="E341" s="12"/>
      <c r="F341" s="12"/>
      <c r="G341" s="13"/>
      <c r="H341" s="12"/>
    </row>
    <row r="342" spans="5:8" ht="13.5" customHeight="1" x14ac:dyDescent="0.3">
      <c r="E342" s="12"/>
      <c r="F342" s="12"/>
      <c r="G342" s="13"/>
      <c r="H342" s="12"/>
    </row>
    <row r="343" spans="5:8" ht="13.5" customHeight="1" x14ac:dyDescent="0.3">
      <c r="E343" s="12"/>
      <c r="F343" s="12"/>
      <c r="G343" s="13"/>
      <c r="H343" s="12"/>
    </row>
    <row r="344" spans="5:8" ht="13.5" customHeight="1" x14ac:dyDescent="0.3">
      <c r="E344" s="12"/>
      <c r="F344" s="12"/>
      <c r="G344" s="13"/>
      <c r="H344" s="12"/>
    </row>
    <row r="345" spans="5:8" ht="13.5" customHeight="1" x14ac:dyDescent="0.3">
      <c r="E345" s="12"/>
      <c r="F345" s="12"/>
      <c r="G345" s="13"/>
      <c r="H345" s="12"/>
    </row>
    <row r="346" spans="5:8" ht="13.5" customHeight="1" x14ac:dyDescent="0.3">
      <c r="E346" s="12"/>
      <c r="F346" s="12"/>
      <c r="G346" s="13"/>
      <c r="H346" s="12"/>
    </row>
    <row r="347" spans="5:8" ht="13.5" customHeight="1" x14ac:dyDescent="0.3">
      <c r="E347" s="12"/>
      <c r="F347" s="12"/>
      <c r="G347" s="13"/>
      <c r="H347" s="12"/>
    </row>
    <row r="348" spans="5:8" ht="13.5" customHeight="1" x14ac:dyDescent="0.3">
      <c r="E348" s="12"/>
      <c r="F348" s="12"/>
      <c r="G348" s="13"/>
      <c r="H348" s="12"/>
    </row>
    <row r="349" spans="5:8" ht="13.5" customHeight="1" x14ac:dyDescent="0.3">
      <c r="E349" s="12"/>
      <c r="F349" s="12"/>
      <c r="G349" s="13"/>
      <c r="H349" s="12"/>
    </row>
    <row r="350" spans="5:8" ht="13.5" customHeight="1" x14ac:dyDescent="0.3">
      <c r="E350" s="12"/>
      <c r="F350" s="12"/>
      <c r="G350" s="13"/>
      <c r="H350" s="12"/>
    </row>
    <row r="351" spans="5:8" ht="13.5" customHeight="1" x14ac:dyDescent="0.3">
      <c r="E351" s="12"/>
      <c r="F351" s="12"/>
      <c r="G351" s="13"/>
      <c r="H351" s="12"/>
    </row>
    <row r="352" spans="5:8" ht="13.5" customHeight="1" x14ac:dyDescent="0.3">
      <c r="E352" s="12"/>
      <c r="F352" s="12"/>
      <c r="G352" s="13"/>
      <c r="H352" s="12"/>
    </row>
    <row r="353" spans="5:8" ht="13.5" customHeight="1" x14ac:dyDescent="0.3">
      <c r="E353" s="12"/>
      <c r="F353" s="12"/>
      <c r="G353" s="13"/>
      <c r="H353" s="12"/>
    </row>
    <row r="354" spans="5:8" ht="13.5" customHeight="1" x14ac:dyDescent="0.3">
      <c r="E354" s="12"/>
      <c r="F354" s="12"/>
      <c r="G354" s="13"/>
      <c r="H354" s="12"/>
    </row>
    <row r="355" spans="5:8" ht="13.5" customHeight="1" x14ac:dyDescent="0.3">
      <c r="E355" s="12"/>
      <c r="F355" s="12"/>
      <c r="G355" s="13"/>
      <c r="H355" s="12"/>
    </row>
    <row r="356" spans="5:8" ht="13.5" customHeight="1" x14ac:dyDescent="0.3">
      <c r="E356" s="12"/>
      <c r="F356" s="12"/>
      <c r="G356" s="13"/>
      <c r="H356" s="12"/>
    </row>
    <row r="357" spans="5:8" ht="13.5" customHeight="1" x14ac:dyDescent="0.3">
      <c r="E357" s="12"/>
      <c r="F357" s="12"/>
      <c r="G357" s="13"/>
      <c r="H357" s="12"/>
    </row>
    <row r="358" spans="5:8" ht="13.5" customHeight="1" x14ac:dyDescent="0.3">
      <c r="E358" s="12"/>
      <c r="F358" s="12"/>
      <c r="G358" s="13"/>
      <c r="H358" s="12"/>
    </row>
    <row r="359" spans="5:8" ht="13.5" customHeight="1" x14ac:dyDescent="0.3">
      <c r="E359" s="12"/>
      <c r="F359" s="12"/>
      <c r="G359" s="13"/>
      <c r="H359" s="12"/>
    </row>
    <row r="360" spans="5:8" ht="13.5" customHeight="1" x14ac:dyDescent="0.3">
      <c r="E360" s="12"/>
      <c r="F360" s="12"/>
      <c r="G360" s="13"/>
      <c r="H360" s="12"/>
    </row>
    <row r="361" spans="5:8" ht="13.5" customHeight="1" x14ac:dyDescent="0.3">
      <c r="E361" s="12"/>
      <c r="F361" s="12"/>
      <c r="G361" s="13"/>
      <c r="H361" s="12"/>
    </row>
    <row r="362" spans="5:8" ht="13.5" customHeight="1" x14ac:dyDescent="0.3">
      <c r="E362" s="12"/>
      <c r="F362" s="12"/>
      <c r="G362" s="13"/>
      <c r="H362" s="12"/>
    </row>
    <row r="363" spans="5:8" ht="13.5" customHeight="1" x14ac:dyDescent="0.3">
      <c r="E363" s="12"/>
      <c r="F363" s="12"/>
      <c r="G363" s="13"/>
      <c r="H363" s="12"/>
    </row>
    <row r="364" spans="5:8" ht="13.5" customHeight="1" x14ac:dyDescent="0.3">
      <c r="E364" s="12"/>
      <c r="F364" s="12"/>
      <c r="G364" s="13"/>
      <c r="H364" s="12"/>
    </row>
    <row r="365" spans="5:8" ht="13.5" customHeight="1" x14ac:dyDescent="0.3">
      <c r="E365" s="12"/>
      <c r="F365" s="12"/>
      <c r="G365" s="13"/>
      <c r="H365" s="12"/>
    </row>
    <row r="366" spans="5:8" ht="13.5" customHeight="1" x14ac:dyDescent="0.3">
      <c r="E366" s="12"/>
      <c r="F366" s="12"/>
      <c r="G366" s="13"/>
      <c r="H366" s="12"/>
    </row>
    <row r="367" spans="5:8" ht="13.5" customHeight="1" x14ac:dyDescent="0.3">
      <c r="E367" s="12"/>
      <c r="F367" s="12"/>
      <c r="G367" s="13"/>
      <c r="H367" s="12"/>
    </row>
    <row r="368" spans="5:8" ht="13.5" customHeight="1" x14ac:dyDescent="0.3">
      <c r="E368" s="12"/>
      <c r="F368" s="12"/>
      <c r="G368" s="13"/>
      <c r="H368" s="12"/>
    </row>
    <row r="369" spans="5:8" ht="13.5" customHeight="1" x14ac:dyDescent="0.3">
      <c r="E369" s="12"/>
      <c r="F369" s="12"/>
      <c r="G369" s="13"/>
      <c r="H369" s="12"/>
    </row>
    <row r="370" spans="5:8" ht="13.5" customHeight="1" x14ac:dyDescent="0.3">
      <c r="E370" s="12"/>
      <c r="F370" s="12"/>
      <c r="G370" s="13"/>
      <c r="H370" s="12"/>
    </row>
    <row r="371" spans="5:8" ht="13.5" customHeight="1" x14ac:dyDescent="0.3">
      <c r="E371" s="12"/>
      <c r="F371" s="12"/>
      <c r="G371" s="13"/>
      <c r="H371" s="12"/>
    </row>
    <row r="372" spans="5:8" ht="13.5" customHeight="1" x14ac:dyDescent="0.3">
      <c r="E372" s="12"/>
      <c r="F372" s="12"/>
      <c r="G372" s="13"/>
      <c r="H372" s="12"/>
    </row>
    <row r="373" spans="5:8" ht="13.5" customHeight="1" x14ac:dyDescent="0.3">
      <c r="E373" s="12"/>
      <c r="F373" s="12"/>
      <c r="G373" s="13"/>
      <c r="H373" s="12"/>
    </row>
    <row r="374" spans="5:8" ht="13.5" customHeight="1" x14ac:dyDescent="0.3">
      <c r="E374" s="12"/>
      <c r="F374" s="12"/>
      <c r="G374" s="13"/>
      <c r="H374" s="12"/>
    </row>
    <row r="375" spans="5:8" ht="13.5" customHeight="1" x14ac:dyDescent="0.3">
      <c r="E375" s="12"/>
      <c r="F375" s="12"/>
      <c r="G375" s="13"/>
      <c r="H375" s="12"/>
    </row>
    <row r="376" spans="5:8" ht="13.5" customHeight="1" x14ac:dyDescent="0.3">
      <c r="E376" s="12"/>
      <c r="F376" s="12"/>
      <c r="G376" s="13"/>
      <c r="H376" s="12"/>
    </row>
    <row r="377" spans="5:8" ht="13.5" customHeight="1" x14ac:dyDescent="0.3">
      <c r="E377" s="12"/>
      <c r="F377" s="12"/>
      <c r="G377" s="13"/>
      <c r="H377" s="12"/>
    </row>
    <row r="378" spans="5:8" ht="13.5" customHeight="1" x14ac:dyDescent="0.3">
      <c r="E378" s="12"/>
      <c r="F378" s="12"/>
      <c r="G378" s="13"/>
      <c r="H378" s="12"/>
    </row>
    <row r="379" spans="5:8" ht="13.5" customHeight="1" x14ac:dyDescent="0.3">
      <c r="E379" s="12"/>
      <c r="F379" s="12"/>
      <c r="G379" s="13"/>
      <c r="H379" s="12"/>
    </row>
    <row r="380" spans="5:8" ht="13.5" customHeight="1" x14ac:dyDescent="0.3">
      <c r="E380" s="12"/>
      <c r="F380" s="12"/>
      <c r="G380" s="13"/>
      <c r="H380" s="12"/>
    </row>
    <row r="381" spans="5:8" ht="13.5" customHeight="1" x14ac:dyDescent="0.3">
      <c r="E381" s="12"/>
      <c r="F381" s="12"/>
      <c r="G381" s="13"/>
      <c r="H381" s="12"/>
    </row>
    <row r="382" spans="5:8" ht="13.5" customHeight="1" x14ac:dyDescent="0.3">
      <c r="E382" s="12"/>
      <c r="F382" s="12"/>
      <c r="G382" s="13"/>
      <c r="H382" s="12"/>
    </row>
    <row r="383" spans="5:8" ht="13.5" customHeight="1" x14ac:dyDescent="0.3">
      <c r="E383" s="12"/>
      <c r="F383" s="12"/>
      <c r="G383" s="13"/>
      <c r="H383" s="12"/>
    </row>
    <row r="384" spans="5:8" ht="13.5" customHeight="1" x14ac:dyDescent="0.3">
      <c r="E384" s="12"/>
      <c r="F384" s="12"/>
      <c r="G384" s="13"/>
      <c r="H384" s="12"/>
    </row>
    <row r="385" spans="5:8" ht="13.5" customHeight="1" x14ac:dyDescent="0.3">
      <c r="E385" s="12"/>
      <c r="F385" s="12"/>
      <c r="G385" s="13"/>
      <c r="H385" s="12"/>
    </row>
    <row r="386" spans="5:8" ht="13.5" customHeight="1" x14ac:dyDescent="0.3">
      <c r="E386" s="12"/>
      <c r="F386" s="12"/>
      <c r="G386" s="13"/>
      <c r="H386" s="12"/>
    </row>
    <row r="387" spans="5:8" ht="13.5" customHeight="1" x14ac:dyDescent="0.3">
      <c r="E387" s="12"/>
      <c r="F387" s="12"/>
      <c r="G387" s="13"/>
      <c r="H387" s="12"/>
    </row>
    <row r="388" spans="5:8" ht="13.5" customHeight="1" x14ac:dyDescent="0.3">
      <c r="E388" s="12"/>
      <c r="F388" s="12"/>
      <c r="G388" s="13"/>
      <c r="H388" s="12"/>
    </row>
    <row r="389" spans="5:8" ht="13.5" customHeight="1" x14ac:dyDescent="0.3">
      <c r="E389" s="12"/>
      <c r="F389" s="12"/>
      <c r="G389" s="13"/>
      <c r="H389" s="12"/>
    </row>
    <row r="390" spans="5:8" ht="13.5" customHeight="1" x14ac:dyDescent="0.3">
      <c r="E390" s="12"/>
      <c r="F390" s="12"/>
      <c r="G390" s="13"/>
      <c r="H390" s="12"/>
    </row>
    <row r="391" spans="5:8" ht="13.5" customHeight="1" x14ac:dyDescent="0.3">
      <c r="E391" s="12"/>
      <c r="F391" s="12"/>
      <c r="G391" s="13"/>
      <c r="H391" s="12"/>
    </row>
    <row r="392" spans="5:8" ht="13.5" customHeight="1" x14ac:dyDescent="0.3">
      <c r="E392" s="12"/>
      <c r="F392" s="12"/>
      <c r="G392" s="13"/>
      <c r="H392" s="12"/>
    </row>
    <row r="393" spans="5:8" ht="13.5" customHeight="1" x14ac:dyDescent="0.3">
      <c r="E393" s="12"/>
      <c r="F393" s="12"/>
      <c r="G393" s="13"/>
      <c r="H393" s="12"/>
    </row>
    <row r="394" spans="5:8" ht="13.5" customHeight="1" x14ac:dyDescent="0.3">
      <c r="E394" s="12"/>
      <c r="F394" s="12"/>
      <c r="G394" s="13"/>
      <c r="H394" s="12"/>
    </row>
    <row r="395" spans="5:8" ht="13.5" customHeight="1" x14ac:dyDescent="0.3">
      <c r="E395" s="12"/>
      <c r="F395" s="12"/>
      <c r="G395" s="13"/>
      <c r="H395" s="12"/>
    </row>
    <row r="396" spans="5:8" ht="13.5" customHeight="1" x14ac:dyDescent="0.3">
      <c r="E396" s="12"/>
      <c r="F396" s="12"/>
      <c r="G396" s="13"/>
      <c r="H396" s="12"/>
    </row>
    <row r="397" spans="5:8" ht="13.5" customHeight="1" x14ac:dyDescent="0.3">
      <c r="E397" s="12"/>
      <c r="F397" s="12"/>
      <c r="G397" s="13"/>
      <c r="H397" s="12"/>
    </row>
    <row r="398" spans="5:8" ht="13.5" customHeight="1" x14ac:dyDescent="0.3">
      <c r="E398" s="12"/>
      <c r="F398" s="12"/>
      <c r="G398" s="13"/>
      <c r="H398" s="12"/>
    </row>
    <row r="399" spans="5:8" ht="13.5" customHeight="1" x14ac:dyDescent="0.3">
      <c r="E399" s="12"/>
      <c r="F399" s="12"/>
      <c r="G399" s="13"/>
      <c r="H399" s="12"/>
    </row>
    <row r="400" spans="5:8" ht="13.5" customHeight="1" x14ac:dyDescent="0.3">
      <c r="E400" s="12"/>
      <c r="F400" s="12"/>
      <c r="G400" s="13"/>
      <c r="H400" s="12"/>
    </row>
    <row r="401" spans="5:8" ht="13.5" customHeight="1" x14ac:dyDescent="0.3">
      <c r="E401" s="12"/>
      <c r="F401" s="12"/>
      <c r="G401" s="13"/>
      <c r="H401" s="12"/>
    </row>
    <row r="402" spans="5:8" ht="13.5" customHeight="1" x14ac:dyDescent="0.3">
      <c r="E402" s="12"/>
      <c r="F402" s="12"/>
      <c r="G402" s="13"/>
      <c r="H402" s="12"/>
    </row>
    <row r="403" spans="5:8" ht="13.5" customHeight="1" x14ac:dyDescent="0.3">
      <c r="E403" s="12"/>
      <c r="F403" s="12"/>
      <c r="G403" s="13"/>
      <c r="H403" s="12"/>
    </row>
    <row r="404" spans="5:8" ht="13.5" customHeight="1" x14ac:dyDescent="0.3">
      <c r="E404" s="12"/>
      <c r="F404" s="12"/>
      <c r="G404" s="13"/>
      <c r="H404" s="12"/>
    </row>
    <row r="405" spans="5:8" ht="13.5" customHeight="1" x14ac:dyDescent="0.3">
      <c r="E405" s="12"/>
      <c r="F405" s="12"/>
      <c r="G405" s="13"/>
      <c r="H405" s="12"/>
    </row>
    <row r="406" spans="5:8" ht="13.5" customHeight="1" x14ac:dyDescent="0.3">
      <c r="E406" s="12"/>
      <c r="F406" s="12"/>
      <c r="G406" s="13"/>
      <c r="H406" s="12"/>
    </row>
    <row r="407" spans="5:8" ht="13.5" customHeight="1" x14ac:dyDescent="0.3">
      <c r="E407" s="12"/>
      <c r="F407" s="12"/>
      <c r="G407" s="13"/>
      <c r="H407" s="12"/>
    </row>
    <row r="408" spans="5:8" ht="13.5" customHeight="1" x14ac:dyDescent="0.3">
      <c r="E408" s="12"/>
      <c r="F408" s="12"/>
      <c r="G408" s="13"/>
      <c r="H408" s="12"/>
    </row>
    <row r="409" spans="5:8" ht="13.5" customHeight="1" x14ac:dyDescent="0.3">
      <c r="E409" s="12"/>
      <c r="F409" s="12"/>
      <c r="G409" s="13"/>
      <c r="H409" s="12"/>
    </row>
    <row r="410" spans="5:8" ht="13.5" customHeight="1" x14ac:dyDescent="0.3">
      <c r="E410" s="12"/>
      <c r="F410" s="12"/>
      <c r="G410" s="13"/>
      <c r="H410" s="12"/>
    </row>
    <row r="411" spans="5:8" ht="13.5" customHeight="1" x14ac:dyDescent="0.3">
      <c r="E411" s="12"/>
      <c r="F411" s="12"/>
      <c r="G411" s="13"/>
      <c r="H411" s="12"/>
    </row>
    <row r="412" spans="5:8" ht="13.5" customHeight="1" x14ac:dyDescent="0.3">
      <c r="E412" s="12"/>
      <c r="F412" s="12"/>
      <c r="G412" s="13"/>
      <c r="H412" s="12"/>
    </row>
    <row r="413" spans="5:8" ht="13.5" customHeight="1" x14ac:dyDescent="0.3">
      <c r="E413" s="12"/>
      <c r="F413" s="12"/>
      <c r="G413" s="13"/>
      <c r="H413" s="12"/>
    </row>
    <row r="414" spans="5:8" ht="13.5" customHeight="1" x14ac:dyDescent="0.3">
      <c r="E414" s="12"/>
      <c r="F414" s="12"/>
      <c r="G414" s="13"/>
      <c r="H414" s="12"/>
    </row>
    <row r="415" spans="5:8" ht="13.5" customHeight="1" x14ac:dyDescent="0.3">
      <c r="E415" s="12"/>
      <c r="F415" s="12"/>
      <c r="G415" s="13"/>
      <c r="H415" s="12"/>
    </row>
    <row r="416" spans="5:8" ht="13.5" customHeight="1" x14ac:dyDescent="0.3">
      <c r="E416" s="12"/>
      <c r="F416" s="12"/>
      <c r="G416" s="13"/>
      <c r="H416" s="12"/>
    </row>
    <row r="417" spans="5:8" ht="13.5" customHeight="1" x14ac:dyDescent="0.3">
      <c r="E417" s="12"/>
      <c r="F417" s="12"/>
      <c r="G417" s="13"/>
      <c r="H417" s="12"/>
    </row>
    <row r="418" spans="5:8" ht="13.5" customHeight="1" x14ac:dyDescent="0.3">
      <c r="E418" s="12"/>
      <c r="F418" s="12"/>
      <c r="G418" s="13"/>
      <c r="H418" s="12"/>
    </row>
    <row r="419" spans="5:8" ht="13.5" customHeight="1" x14ac:dyDescent="0.3">
      <c r="E419" s="12"/>
      <c r="F419" s="12"/>
      <c r="G419" s="13"/>
      <c r="H419" s="12"/>
    </row>
    <row r="420" spans="5:8" ht="13.5" customHeight="1" x14ac:dyDescent="0.3">
      <c r="E420" s="12"/>
      <c r="F420" s="12"/>
      <c r="G420" s="13"/>
      <c r="H420" s="12"/>
    </row>
    <row r="421" spans="5:8" ht="13.5" customHeight="1" x14ac:dyDescent="0.3">
      <c r="E421" s="12"/>
      <c r="F421" s="12"/>
      <c r="G421" s="13"/>
      <c r="H421" s="12"/>
    </row>
    <row r="422" spans="5:8" ht="13.5" customHeight="1" x14ac:dyDescent="0.3">
      <c r="E422" s="12"/>
      <c r="F422" s="12"/>
      <c r="G422" s="13"/>
      <c r="H422" s="12"/>
    </row>
    <row r="423" spans="5:8" ht="13.5" customHeight="1" x14ac:dyDescent="0.3">
      <c r="E423" s="12"/>
      <c r="F423" s="12"/>
      <c r="G423" s="13"/>
      <c r="H423" s="12"/>
    </row>
    <row r="424" spans="5:8" ht="13.5" customHeight="1" x14ac:dyDescent="0.3">
      <c r="E424" s="12"/>
      <c r="F424" s="12"/>
      <c r="G424" s="13"/>
      <c r="H424" s="12"/>
    </row>
    <row r="425" spans="5:8" ht="13.5" customHeight="1" x14ac:dyDescent="0.3">
      <c r="E425" s="12"/>
      <c r="F425" s="12"/>
      <c r="G425" s="13"/>
      <c r="H425" s="12"/>
    </row>
    <row r="426" spans="5:8" ht="13.5" customHeight="1" x14ac:dyDescent="0.3">
      <c r="E426" s="12"/>
      <c r="F426" s="12"/>
      <c r="G426" s="13"/>
      <c r="H426" s="12"/>
    </row>
    <row r="427" spans="5:8" ht="13.5" customHeight="1" x14ac:dyDescent="0.3">
      <c r="E427" s="12"/>
      <c r="F427" s="12"/>
      <c r="G427" s="13"/>
      <c r="H427" s="12"/>
    </row>
    <row r="428" spans="5:8" ht="13.5" customHeight="1" x14ac:dyDescent="0.3">
      <c r="E428" s="12"/>
      <c r="F428" s="12"/>
      <c r="G428" s="13"/>
      <c r="H428" s="12"/>
    </row>
    <row r="429" spans="5:8" ht="13.5" customHeight="1" x14ac:dyDescent="0.3">
      <c r="E429" s="12"/>
      <c r="F429" s="12"/>
      <c r="G429" s="13"/>
      <c r="H429" s="12"/>
    </row>
    <row r="430" spans="5:8" ht="13.5" customHeight="1" x14ac:dyDescent="0.3">
      <c r="E430" s="12"/>
      <c r="F430" s="12"/>
      <c r="G430" s="13"/>
      <c r="H430" s="12"/>
    </row>
    <row r="431" spans="5:8" ht="13.5" customHeight="1" x14ac:dyDescent="0.3">
      <c r="E431" s="12"/>
      <c r="F431" s="12"/>
      <c r="G431" s="13"/>
      <c r="H431" s="12"/>
    </row>
    <row r="432" spans="5:8" ht="13.5" customHeight="1" x14ac:dyDescent="0.3">
      <c r="E432" s="12"/>
      <c r="F432" s="12"/>
      <c r="G432" s="13"/>
      <c r="H432" s="12"/>
    </row>
    <row r="433" spans="5:8" ht="13.5" customHeight="1" x14ac:dyDescent="0.3">
      <c r="E433" s="12"/>
      <c r="F433" s="12"/>
      <c r="G433" s="13"/>
      <c r="H433" s="12"/>
    </row>
    <row r="434" spans="5:8" ht="13.5" customHeight="1" x14ac:dyDescent="0.3">
      <c r="E434" s="12"/>
      <c r="F434" s="12"/>
      <c r="G434" s="13"/>
      <c r="H434" s="12"/>
    </row>
    <row r="435" spans="5:8" ht="13.5" customHeight="1" x14ac:dyDescent="0.3">
      <c r="E435" s="12"/>
      <c r="F435" s="12"/>
      <c r="G435" s="13"/>
      <c r="H435" s="12"/>
    </row>
    <row r="436" spans="5:8" ht="13.5" customHeight="1" x14ac:dyDescent="0.3">
      <c r="E436" s="12"/>
      <c r="F436" s="12"/>
      <c r="G436" s="13"/>
      <c r="H436" s="12"/>
    </row>
    <row r="437" spans="5:8" ht="13.5" customHeight="1" x14ac:dyDescent="0.3">
      <c r="E437" s="12"/>
      <c r="F437" s="12"/>
      <c r="G437" s="13"/>
      <c r="H437" s="12"/>
    </row>
    <row r="438" spans="5:8" ht="13.5" customHeight="1" x14ac:dyDescent="0.3">
      <c r="E438" s="12"/>
      <c r="F438" s="12"/>
      <c r="G438" s="13"/>
      <c r="H438" s="12"/>
    </row>
    <row r="439" spans="5:8" ht="13.5" customHeight="1" x14ac:dyDescent="0.3">
      <c r="E439" s="12"/>
      <c r="F439" s="12"/>
      <c r="G439" s="13"/>
      <c r="H439" s="12"/>
    </row>
    <row r="440" spans="5:8" ht="13.5" customHeight="1" x14ac:dyDescent="0.3">
      <c r="E440" s="12"/>
      <c r="F440" s="12"/>
      <c r="G440" s="13"/>
      <c r="H440" s="12"/>
    </row>
    <row r="441" spans="5:8" ht="13.5" customHeight="1" x14ac:dyDescent="0.3">
      <c r="E441" s="12"/>
      <c r="F441" s="12"/>
      <c r="G441" s="13"/>
      <c r="H441" s="12"/>
    </row>
    <row r="442" spans="5:8" ht="13.5" customHeight="1" x14ac:dyDescent="0.3">
      <c r="E442" s="12"/>
      <c r="F442" s="12"/>
      <c r="G442" s="13"/>
      <c r="H442" s="12"/>
    </row>
    <row r="443" spans="5:8" ht="13.5" customHeight="1" x14ac:dyDescent="0.3">
      <c r="E443" s="12"/>
      <c r="F443" s="12"/>
      <c r="G443" s="13"/>
      <c r="H443" s="12"/>
    </row>
    <row r="444" spans="5:8" ht="13.5" customHeight="1" x14ac:dyDescent="0.3">
      <c r="E444" s="12"/>
      <c r="F444" s="12"/>
      <c r="G444" s="13"/>
      <c r="H444" s="12"/>
    </row>
    <row r="445" spans="5:8" ht="13.5" customHeight="1" x14ac:dyDescent="0.3">
      <c r="E445" s="12"/>
      <c r="F445" s="12"/>
      <c r="G445" s="13"/>
      <c r="H445" s="12"/>
    </row>
    <row r="446" spans="5:8" ht="13.5" customHeight="1" x14ac:dyDescent="0.3">
      <c r="E446" s="12"/>
      <c r="F446" s="12"/>
      <c r="G446" s="13"/>
      <c r="H446" s="12"/>
    </row>
    <row r="447" spans="5:8" ht="13.5" customHeight="1" x14ac:dyDescent="0.3">
      <c r="E447" s="12"/>
      <c r="F447" s="12"/>
      <c r="G447" s="13"/>
      <c r="H447" s="12"/>
    </row>
    <row r="448" spans="5:8" ht="13.5" customHeight="1" x14ac:dyDescent="0.3">
      <c r="E448" s="12"/>
      <c r="F448" s="12"/>
      <c r="G448" s="13"/>
      <c r="H448" s="12"/>
    </row>
    <row r="449" spans="5:8" ht="13.5" customHeight="1" x14ac:dyDescent="0.3">
      <c r="E449" s="12"/>
      <c r="F449" s="12"/>
      <c r="G449" s="13"/>
      <c r="H449" s="12"/>
    </row>
    <row r="450" spans="5:8" ht="13.5" customHeight="1" x14ac:dyDescent="0.3">
      <c r="E450" s="12"/>
      <c r="F450" s="12"/>
      <c r="G450" s="13"/>
      <c r="H450" s="12"/>
    </row>
    <row r="451" spans="5:8" ht="13.5" customHeight="1" x14ac:dyDescent="0.3">
      <c r="E451" s="12"/>
      <c r="F451" s="12"/>
      <c r="G451" s="13"/>
      <c r="H451" s="12"/>
    </row>
    <row r="452" spans="5:8" ht="13.5" customHeight="1" x14ac:dyDescent="0.3">
      <c r="E452" s="12"/>
      <c r="F452" s="12"/>
      <c r="G452" s="13"/>
      <c r="H452" s="12"/>
    </row>
    <row r="453" spans="5:8" ht="13.5" customHeight="1" x14ac:dyDescent="0.3">
      <c r="E453" s="12"/>
      <c r="F453" s="12"/>
      <c r="G453" s="13"/>
      <c r="H453" s="12"/>
    </row>
    <row r="454" spans="5:8" ht="13.5" customHeight="1" x14ac:dyDescent="0.3">
      <c r="E454" s="12"/>
      <c r="F454" s="12"/>
      <c r="G454" s="13"/>
      <c r="H454" s="12"/>
    </row>
    <row r="455" spans="5:8" ht="13.5" customHeight="1" x14ac:dyDescent="0.3">
      <c r="E455" s="12"/>
      <c r="F455" s="12"/>
      <c r="G455" s="13"/>
      <c r="H455" s="12"/>
    </row>
    <row r="456" spans="5:8" ht="13.5" customHeight="1" x14ac:dyDescent="0.3">
      <c r="E456" s="12"/>
      <c r="F456" s="12"/>
      <c r="G456" s="13"/>
      <c r="H456" s="12"/>
    </row>
    <row r="457" spans="5:8" ht="13.5" customHeight="1" x14ac:dyDescent="0.3">
      <c r="E457" s="12"/>
      <c r="F457" s="12"/>
      <c r="G457" s="13"/>
      <c r="H457" s="12"/>
    </row>
    <row r="458" spans="5:8" ht="13.5" customHeight="1" x14ac:dyDescent="0.3">
      <c r="E458" s="12"/>
      <c r="F458" s="12"/>
      <c r="G458" s="13"/>
      <c r="H458" s="12"/>
    </row>
    <row r="459" spans="5:8" ht="13.5" customHeight="1" x14ac:dyDescent="0.3">
      <c r="E459" s="12"/>
      <c r="F459" s="12"/>
      <c r="G459" s="13"/>
      <c r="H459" s="12"/>
    </row>
    <row r="460" spans="5:8" ht="13.5" customHeight="1" x14ac:dyDescent="0.3">
      <c r="E460" s="12"/>
      <c r="F460" s="12"/>
      <c r="G460" s="13"/>
      <c r="H460" s="12"/>
    </row>
    <row r="461" spans="5:8" ht="13.5" customHeight="1" x14ac:dyDescent="0.3">
      <c r="E461" s="12"/>
      <c r="F461" s="12"/>
      <c r="G461" s="13"/>
      <c r="H461" s="12"/>
    </row>
    <row r="462" spans="5:8" ht="13.5" customHeight="1" x14ac:dyDescent="0.3">
      <c r="E462" s="12"/>
      <c r="F462" s="12"/>
      <c r="G462" s="13"/>
      <c r="H462" s="12"/>
    </row>
    <row r="463" spans="5:8" ht="13.5" customHeight="1" x14ac:dyDescent="0.3">
      <c r="E463" s="12"/>
      <c r="F463" s="12"/>
      <c r="G463" s="13"/>
      <c r="H463" s="12"/>
    </row>
    <row r="464" spans="5:8" ht="13.5" customHeight="1" x14ac:dyDescent="0.3">
      <c r="E464" s="12"/>
      <c r="F464" s="12"/>
      <c r="G464" s="13"/>
      <c r="H464" s="12"/>
    </row>
    <row r="465" spans="5:8" ht="13.5" customHeight="1" x14ac:dyDescent="0.3">
      <c r="E465" s="12"/>
      <c r="F465" s="12"/>
      <c r="G465" s="13"/>
      <c r="H465" s="12"/>
    </row>
    <row r="466" spans="5:8" ht="13.5" customHeight="1" x14ac:dyDescent="0.3">
      <c r="E466" s="12"/>
      <c r="F466" s="12"/>
      <c r="G466" s="13"/>
      <c r="H466" s="12"/>
    </row>
    <row r="467" spans="5:8" ht="13.5" customHeight="1" x14ac:dyDescent="0.3">
      <c r="E467" s="12"/>
      <c r="F467" s="12"/>
      <c r="G467" s="13"/>
      <c r="H467" s="12"/>
    </row>
    <row r="468" spans="5:8" ht="13.5" customHeight="1" x14ac:dyDescent="0.3">
      <c r="E468" s="12"/>
      <c r="F468" s="12"/>
      <c r="G468" s="13"/>
      <c r="H468" s="12"/>
    </row>
    <row r="469" spans="5:8" ht="13.5" customHeight="1" x14ac:dyDescent="0.3">
      <c r="E469" s="12"/>
      <c r="F469" s="12"/>
      <c r="G469" s="13"/>
      <c r="H469" s="12"/>
    </row>
    <row r="470" spans="5:8" ht="13.5" customHeight="1" x14ac:dyDescent="0.3">
      <c r="E470" s="12"/>
      <c r="F470" s="12"/>
      <c r="G470" s="13"/>
      <c r="H470" s="12"/>
    </row>
    <row r="471" spans="5:8" ht="13.5" customHeight="1" x14ac:dyDescent="0.3">
      <c r="E471" s="12"/>
      <c r="F471" s="12"/>
      <c r="G471" s="13"/>
      <c r="H471" s="12"/>
    </row>
    <row r="472" spans="5:8" ht="13.5" customHeight="1" x14ac:dyDescent="0.3">
      <c r="E472" s="12"/>
      <c r="F472" s="12"/>
      <c r="G472" s="13"/>
      <c r="H472" s="12"/>
    </row>
    <row r="473" spans="5:8" ht="13.5" customHeight="1" x14ac:dyDescent="0.3">
      <c r="E473" s="12"/>
      <c r="F473" s="12"/>
      <c r="G473" s="13"/>
      <c r="H473" s="12"/>
    </row>
    <row r="474" spans="5:8" ht="13.5" customHeight="1" x14ac:dyDescent="0.3">
      <c r="E474" s="12"/>
      <c r="F474" s="12"/>
      <c r="G474" s="13"/>
      <c r="H474" s="12"/>
    </row>
    <row r="475" spans="5:8" ht="13.5" customHeight="1" x14ac:dyDescent="0.3">
      <c r="E475" s="12"/>
      <c r="F475" s="12"/>
      <c r="G475" s="13"/>
      <c r="H475" s="12"/>
    </row>
    <row r="476" spans="5:8" ht="13.5" customHeight="1" x14ac:dyDescent="0.3">
      <c r="E476" s="12"/>
      <c r="F476" s="12"/>
      <c r="G476" s="13"/>
      <c r="H476" s="12"/>
    </row>
    <row r="477" spans="5:8" ht="13.5" customHeight="1" x14ac:dyDescent="0.3">
      <c r="E477" s="12"/>
      <c r="F477" s="12"/>
      <c r="G477" s="13"/>
      <c r="H477" s="12"/>
    </row>
    <row r="478" spans="5:8" ht="13.5" customHeight="1" x14ac:dyDescent="0.3">
      <c r="E478" s="12"/>
      <c r="F478" s="12"/>
      <c r="G478" s="13"/>
      <c r="H478" s="12"/>
    </row>
    <row r="479" spans="5:8" ht="13.5" customHeight="1" x14ac:dyDescent="0.3">
      <c r="E479" s="12"/>
      <c r="F479" s="12"/>
      <c r="G479" s="13"/>
      <c r="H479" s="12"/>
    </row>
    <row r="480" spans="5:8" ht="13.5" customHeight="1" x14ac:dyDescent="0.3">
      <c r="E480" s="12"/>
      <c r="F480" s="12"/>
      <c r="G480" s="13"/>
      <c r="H480" s="12"/>
    </row>
    <row r="481" spans="5:8" ht="13.5" customHeight="1" x14ac:dyDescent="0.3">
      <c r="E481" s="12"/>
      <c r="F481" s="12"/>
      <c r="G481" s="13"/>
      <c r="H481" s="12"/>
    </row>
    <row r="482" spans="5:8" ht="13.5" customHeight="1" x14ac:dyDescent="0.3">
      <c r="E482" s="12"/>
      <c r="F482" s="12"/>
      <c r="G482" s="13"/>
      <c r="H482" s="12"/>
    </row>
    <row r="483" spans="5:8" ht="13.5" customHeight="1" x14ac:dyDescent="0.3">
      <c r="E483" s="12"/>
      <c r="F483" s="12"/>
      <c r="G483" s="13"/>
      <c r="H483" s="12"/>
    </row>
    <row r="484" spans="5:8" ht="13.5" customHeight="1" x14ac:dyDescent="0.3">
      <c r="E484" s="12"/>
      <c r="F484" s="12"/>
      <c r="G484" s="13"/>
      <c r="H484" s="12"/>
    </row>
    <row r="485" spans="5:8" ht="13.5" customHeight="1" x14ac:dyDescent="0.3">
      <c r="E485" s="12"/>
      <c r="F485" s="12"/>
      <c r="G485" s="13"/>
      <c r="H485" s="12"/>
    </row>
    <row r="486" spans="5:8" ht="13.5" customHeight="1" x14ac:dyDescent="0.3">
      <c r="E486" s="12"/>
      <c r="F486" s="12"/>
      <c r="G486" s="13"/>
      <c r="H486" s="12"/>
    </row>
    <row r="487" spans="5:8" ht="13.5" customHeight="1" x14ac:dyDescent="0.3">
      <c r="E487" s="12"/>
      <c r="F487" s="12"/>
      <c r="G487" s="13"/>
      <c r="H487" s="12"/>
    </row>
    <row r="488" spans="5:8" ht="13.5" customHeight="1" x14ac:dyDescent="0.3">
      <c r="E488" s="12"/>
      <c r="F488" s="12"/>
      <c r="G488" s="13"/>
      <c r="H488" s="12"/>
    </row>
    <row r="489" spans="5:8" ht="13.5" customHeight="1" x14ac:dyDescent="0.3">
      <c r="E489" s="12"/>
      <c r="F489" s="12"/>
      <c r="G489" s="13"/>
      <c r="H489" s="12"/>
    </row>
    <row r="490" spans="5:8" ht="13.5" customHeight="1" x14ac:dyDescent="0.3">
      <c r="E490" s="12"/>
      <c r="F490" s="12"/>
      <c r="G490" s="13"/>
      <c r="H490" s="12"/>
    </row>
    <row r="491" spans="5:8" ht="13.5" customHeight="1" x14ac:dyDescent="0.3">
      <c r="E491" s="12"/>
      <c r="F491" s="12"/>
      <c r="G491" s="13"/>
      <c r="H491" s="12"/>
    </row>
    <row r="492" spans="5:8" ht="13.5" customHeight="1" x14ac:dyDescent="0.3">
      <c r="E492" s="12"/>
      <c r="F492" s="12"/>
      <c r="G492" s="13"/>
      <c r="H492" s="12"/>
    </row>
    <row r="493" spans="5:8" ht="13.5" customHeight="1" x14ac:dyDescent="0.3">
      <c r="E493" s="12"/>
      <c r="F493" s="12"/>
      <c r="G493" s="13"/>
      <c r="H493" s="12"/>
    </row>
    <row r="494" spans="5:8" ht="13.5" customHeight="1" x14ac:dyDescent="0.3">
      <c r="E494" s="12"/>
      <c r="F494" s="12"/>
      <c r="G494" s="13"/>
      <c r="H494" s="12"/>
    </row>
    <row r="495" spans="5:8" ht="13.5" customHeight="1" x14ac:dyDescent="0.3">
      <c r="E495" s="12"/>
      <c r="F495" s="12"/>
      <c r="G495" s="13"/>
      <c r="H495" s="12"/>
    </row>
    <row r="496" spans="5:8" ht="13.5" customHeight="1" x14ac:dyDescent="0.3">
      <c r="E496" s="12"/>
      <c r="F496" s="12"/>
      <c r="G496" s="13"/>
      <c r="H496" s="12"/>
    </row>
    <row r="497" spans="5:8" ht="13.5" customHeight="1" x14ac:dyDescent="0.3">
      <c r="E497" s="12"/>
      <c r="F497" s="12"/>
      <c r="G497" s="13"/>
      <c r="H497" s="12"/>
    </row>
    <row r="498" spans="5:8" ht="13.5" customHeight="1" x14ac:dyDescent="0.3">
      <c r="E498" s="12"/>
      <c r="F498" s="12"/>
      <c r="G498" s="13"/>
      <c r="H498" s="12"/>
    </row>
    <row r="499" spans="5:8" ht="13.5" customHeight="1" x14ac:dyDescent="0.3">
      <c r="E499" s="12"/>
      <c r="F499" s="12"/>
      <c r="G499" s="13"/>
      <c r="H499" s="12"/>
    </row>
    <row r="500" spans="5:8" ht="13.5" customHeight="1" x14ac:dyDescent="0.3">
      <c r="E500" s="12"/>
      <c r="F500" s="12"/>
      <c r="G500" s="13"/>
      <c r="H500" s="12"/>
    </row>
    <row r="501" spans="5:8" ht="13.5" customHeight="1" x14ac:dyDescent="0.3">
      <c r="E501" s="12"/>
      <c r="F501" s="12"/>
      <c r="G501" s="13"/>
      <c r="H501" s="12"/>
    </row>
    <row r="502" spans="5:8" ht="13.5" customHeight="1" x14ac:dyDescent="0.3">
      <c r="E502" s="12"/>
      <c r="F502" s="12"/>
      <c r="G502" s="13"/>
      <c r="H502" s="12"/>
    </row>
    <row r="503" spans="5:8" ht="13.5" customHeight="1" x14ac:dyDescent="0.3">
      <c r="E503" s="12"/>
      <c r="F503" s="12"/>
      <c r="G503" s="13"/>
      <c r="H503" s="12"/>
    </row>
    <row r="504" spans="5:8" ht="13.5" customHeight="1" x14ac:dyDescent="0.3">
      <c r="E504" s="12"/>
      <c r="F504" s="12"/>
      <c r="G504" s="13"/>
      <c r="H504" s="12"/>
    </row>
    <row r="505" spans="5:8" ht="13.5" customHeight="1" x14ac:dyDescent="0.3">
      <c r="E505" s="12"/>
      <c r="F505" s="12"/>
      <c r="G505" s="13"/>
      <c r="H505" s="12"/>
    </row>
    <row r="506" spans="5:8" ht="13.5" customHeight="1" x14ac:dyDescent="0.3">
      <c r="E506" s="12"/>
      <c r="F506" s="12"/>
      <c r="G506" s="13"/>
      <c r="H506" s="12"/>
    </row>
    <row r="507" spans="5:8" ht="13.5" customHeight="1" x14ac:dyDescent="0.3">
      <c r="E507" s="12"/>
      <c r="F507" s="12"/>
      <c r="G507" s="13"/>
      <c r="H507" s="12"/>
    </row>
    <row r="508" spans="5:8" ht="13.5" customHeight="1" x14ac:dyDescent="0.3">
      <c r="E508" s="12"/>
      <c r="F508" s="12"/>
      <c r="G508" s="13"/>
      <c r="H508" s="12"/>
    </row>
    <row r="509" spans="5:8" ht="13.5" customHeight="1" x14ac:dyDescent="0.3">
      <c r="E509" s="12"/>
      <c r="F509" s="12"/>
      <c r="G509" s="13"/>
      <c r="H509" s="12"/>
    </row>
    <row r="510" spans="5:8" ht="13.5" customHeight="1" x14ac:dyDescent="0.3">
      <c r="E510" s="12"/>
      <c r="F510" s="12"/>
      <c r="G510" s="13"/>
      <c r="H510" s="12"/>
    </row>
    <row r="511" spans="5:8" ht="13.5" customHeight="1" x14ac:dyDescent="0.3">
      <c r="E511" s="12"/>
      <c r="F511" s="12"/>
      <c r="G511" s="13"/>
      <c r="H511" s="12"/>
    </row>
    <row r="512" spans="5:8" ht="13.5" customHeight="1" x14ac:dyDescent="0.3">
      <c r="E512" s="12"/>
      <c r="F512" s="12"/>
      <c r="G512" s="13"/>
      <c r="H512" s="12"/>
    </row>
    <row r="513" spans="5:8" ht="13.5" customHeight="1" x14ac:dyDescent="0.3">
      <c r="E513" s="12"/>
      <c r="F513" s="12"/>
      <c r="G513" s="13"/>
      <c r="H513" s="12"/>
    </row>
    <row r="514" spans="5:8" ht="13.5" customHeight="1" x14ac:dyDescent="0.3">
      <c r="E514" s="12"/>
      <c r="F514" s="12"/>
      <c r="G514" s="13"/>
      <c r="H514" s="12"/>
    </row>
    <row r="515" spans="5:8" ht="13.5" customHeight="1" x14ac:dyDescent="0.3">
      <c r="E515" s="12"/>
      <c r="F515" s="12"/>
      <c r="G515" s="13"/>
      <c r="H515" s="12"/>
    </row>
    <row r="516" spans="5:8" ht="13.5" customHeight="1" x14ac:dyDescent="0.3">
      <c r="E516" s="12"/>
      <c r="F516" s="12"/>
      <c r="G516" s="13"/>
      <c r="H516" s="12"/>
    </row>
    <row r="517" spans="5:8" ht="13.5" customHeight="1" x14ac:dyDescent="0.3">
      <c r="E517" s="12"/>
      <c r="F517" s="12"/>
      <c r="G517" s="13"/>
      <c r="H517" s="12"/>
    </row>
    <row r="518" spans="5:8" ht="13.5" customHeight="1" x14ac:dyDescent="0.3">
      <c r="E518" s="12"/>
      <c r="F518" s="12"/>
      <c r="G518" s="13"/>
      <c r="H518" s="12"/>
    </row>
    <row r="519" spans="5:8" ht="13.5" customHeight="1" x14ac:dyDescent="0.3">
      <c r="E519" s="12"/>
      <c r="F519" s="12"/>
      <c r="G519" s="13"/>
      <c r="H519" s="12"/>
    </row>
    <row r="520" spans="5:8" ht="13.5" customHeight="1" x14ac:dyDescent="0.3">
      <c r="E520" s="12"/>
      <c r="F520" s="12"/>
      <c r="G520" s="13"/>
      <c r="H520" s="12"/>
    </row>
    <row r="521" spans="5:8" ht="13.5" customHeight="1" x14ac:dyDescent="0.3">
      <c r="E521" s="12"/>
      <c r="F521" s="12"/>
      <c r="G521" s="13"/>
      <c r="H521" s="12"/>
    </row>
    <row r="522" spans="5:8" ht="13.5" customHeight="1" x14ac:dyDescent="0.3">
      <c r="E522" s="12"/>
      <c r="F522" s="12"/>
      <c r="G522" s="13"/>
      <c r="H522" s="12"/>
    </row>
    <row r="523" spans="5:8" ht="13.5" customHeight="1" x14ac:dyDescent="0.3">
      <c r="E523" s="12"/>
      <c r="F523" s="12"/>
      <c r="G523" s="13"/>
      <c r="H523" s="12"/>
    </row>
    <row r="524" spans="5:8" ht="13.5" customHeight="1" x14ac:dyDescent="0.3">
      <c r="E524" s="12"/>
      <c r="F524" s="12"/>
      <c r="G524" s="13"/>
      <c r="H524" s="12"/>
    </row>
    <row r="525" spans="5:8" ht="13.5" customHeight="1" x14ac:dyDescent="0.3">
      <c r="E525" s="12"/>
      <c r="F525" s="12"/>
      <c r="G525" s="13"/>
      <c r="H525" s="12"/>
    </row>
    <row r="526" spans="5:8" ht="13.5" customHeight="1" x14ac:dyDescent="0.3">
      <c r="E526" s="12"/>
      <c r="F526" s="12"/>
      <c r="G526" s="13"/>
      <c r="H526" s="12"/>
    </row>
    <row r="527" spans="5:8" ht="13.5" customHeight="1" x14ac:dyDescent="0.3">
      <c r="E527" s="12"/>
      <c r="F527" s="12"/>
      <c r="G527" s="13"/>
      <c r="H527" s="12"/>
    </row>
    <row r="528" spans="5:8" ht="13.5" customHeight="1" x14ac:dyDescent="0.3">
      <c r="E528" s="12"/>
      <c r="F528" s="12"/>
      <c r="G528" s="13"/>
      <c r="H528" s="12"/>
    </row>
    <row r="529" spans="5:8" ht="13.5" customHeight="1" x14ac:dyDescent="0.3">
      <c r="E529" s="12"/>
      <c r="F529" s="12"/>
      <c r="G529" s="13"/>
      <c r="H529" s="12"/>
    </row>
    <row r="530" spans="5:8" ht="13.5" customHeight="1" x14ac:dyDescent="0.3">
      <c r="E530" s="12"/>
      <c r="F530" s="12"/>
      <c r="G530" s="13"/>
      <c r="H530" s="12"/>
    </row>
    <row r="531" spans="5:8" ht="13.5" customHeight="1" x14ac:dyDescent="0.3">
      <c r="E531" s="12"/>
      <c r="F531" s="12"/>
      <c r="G531" s="13"/>
      <c r="H531" s="12"/>
    </row>
    <row r="532" spans="5:8" ht="13.5" customHeight="1" x14ac:dyDescent="0.3">
      <c r="E532" s="12"/>
      <c r="F532" s="12"/>
      <c r="G532" s="13"/>
      <c r="H532" s="12"/>
    </row>
    <row r="533" spans="5:8" ht="13.5" customHeight="1" x14ac:dyDescent="0.3">
      <c r="E533" s="12"/>
      <c r="F533" s="12"/>
      <c r="G533" s="13"/>
      <c r="H533" s="12"/>
    </row>
    <row r="534" spans="5:8" ht="13.5" customHeight="1" x14ac:dyDescent="0.3">
      <c r="E534" s="12"/>
      <c r="F534" s="12"/>
      <c r="G534" s="13"/>
      <c r="H534" s="12"/>
    </row>
    <row r="535" spans="5:8" ht="13.5" customHeight="1" x14ac:dyDescent="0.3">
      <c r="E535" s="12"/>
      <c r="F535" s="12"/>
      <c r="G535" s="13"/>
      <c r="H535" s="12"/>
    </row>
    <row r="536" spans="5:8" ht="13.5" customHeight="1" x14ac:dyDescent="0.3">
      <c r="E536" s="12"/>
      <c r="F536" s="12"/>
      <c r="G536" s="13"/>
      <c r="H536" s="12"/>
    </row>
    <row r="537" spans="5:8" ht="13.5" customHeight="1" x14ac:dyDescent="0.3">
      <c r="E537" s="12"/>
      <c r="F537" s="12"/>
      <c r="G537" s="13"/>
      <c r="H537" s="12"/>
    </row>
    <row r="538" spans="5:8" ht="13.5" customHeight="1" x14ac:dyDescent="0.3">
      <c r="E538" s="12"/>
      <c r="F538" s="12"/>
      <c r="G538" s="13"/>
      <c r="H538" s="12"/>
    </row>
    <row r="539" spans="5:8" ht="13.5" customHeight="1" x14ac:dyDescent="0.3">
      <c r="E539" s="12"/>
      <c r="F539" s="12"/>
      <c r="G539" s="13"/>
      <c r="H539" s="12"/>
    </row>
    <row r="540" spans="5:8" ht="13.5" customHeight="1" x14ac:dyDescent="0.3">
      <c r="E540" s="12"/>
      <c r="F540" s="12"/>
      <c r="G540" s="13"/>
      <c r="H540" s="12"/>
    </row>
    <row r="541" spans="5:8" ht="13.5" customHeight="1" x14ac:dyDescent="0.3">
      <c r="E541" s="12"/>
      <c r="F541" s="12"/>
      <c r="G541" s="13"/>
      <c r="H541" s="12"/>
    </row>
    <row r="542" spans="5:8" ht="13.5" customHeight="1" x14ac:dyDescent="0.3">
      <c r="E542" s="12"/>
      <c r="F542" s="12"/>
      <c r="G542" s="13"/>
      <c r="H542" s="12"/>
    </row>
    <row r="543" spans="5:8" ht="13.5" customHeight="1" x14ac:dyDescent="0.3">
      <c r="E543" s="12"/>
      <c r="F543" s="12"/>
      <c r="G543" s="13"/>
      <c r="H543" s="12"/>
    </row>
    <row r="544" spans="5:8" ht="13.5" customHeight="1" x14ac:dyDescent="0.3">
      <c r="E544" s="12"/>
      <c r="F544" s="12"/>
      <c r="G544" s="13"/>
      <c r="H544" s="12"/>
    </row>
    <row r="545" spans="5:8" ht="13.5" customHeight="1" x14ac:dyDescent="0.3">
      <c r="E545" s="12"/>
      <c r="F545" s="12"/>
      <c r="G545" s="13"/>
      <c r="H545" s="12"/>
    </row>
    <row r="546" spans="5:8" ht="13.5" customHeight="1" x14ac:dyDescent="0.3">
      <c r="E546" s="12"/>
      <c r="F546" s="12"/>
      <c r="G546" s="13"/>
      <c r="H546" s="12"/>
    </row>
    <row r="547" spans="5:8" ht="13.5" customHeight="1" x14ac:dyDescent="0.3">
      <c r="E547" s="12"/>
      <c r="F547" s="12"/>
      <c r="G547" s="13"/>
      <c r="H547" s="12"/>
    </row>
    <row r="548" spans="5:8" ht="13.5" customHeight="1" x14ac:dyDescent="0.3">
      <c r="E548" s="12"/>
      <c r="F548" s="12"/>
      <c r="G548" s="13"/>
      <c r="H548" s="12"/>
    </row>
    <row r="549" spans="5:8" ht="13.5" customHeight="1" x14ac:dyDescent="0.3">
      <c r="E549" s="12"/>
      <c r="F549" s="12"/>
      <c r="G549" s="13"/>
      <c r="H549" s="12"/>
    </row>
    <row r="550" spans="5:8" ht="13.5" customHeight="1" x14ac:dyDescent="0.3">
      <c r="E550" s="12"/>
      <c r="F550" s="12"/>
      <c r="G550" s="13"/>
      <c r="H550" s="12"/>
    </row>
    <row r="551" spans="5:8" ht="13.5" customHeight="1" x14ac:dyDescent="0.3">
      <c r="E551" s="12"/>
      <c r="F551" s="12"/>
      <c r="G551" s="13"/>
      <c r="H551" s="12"/>
    </row>
    <row r="552" spans="5:8" ht="13.5" customHeight="1" x14ac:dyDescent="0.3">
      <c r="E552" s="12"/>
      <c r="F552" s="12"/>
      <c r="G552" s="13"/>
      <c r="H552" s="12"/>
    </row>
    <row r="553" spans="5:8" ht="13.5" customHeight="1" x14ac:dyDescent="0.3">
      <c r="E553" s="12"/>
      <c r="F553" s="12"/>
      <c r="G553" s="13"/>
      <c r="H553" s="12"/>
    </row>
    <row r="554" spans="5:8" ht="13.5" customHeight="1" x14ac:dyDescent="0.3">
      <c r="E554" s="12"/>
      <c r="F554" s="12"/>
      <c r="G554" s="13"/>
      <c r="H554" s="12"/>
    </row>
    <row r="555" spans="5:8" ht="13.5" customHeight="1" x14ac:dyDescent="0.3">
      <c r="E555" s="12"/>
      <c r="F555" s="12"/>
      <c r="G555" s="13"/>
      <c r="H555" s="12"/>
    </row>
    <row r="556" spans="5:8" ht="13.5" customHeight="1" x14ac:dyDescent="0.3">
      <c r="E556" s="12"/>
      <c r="F556" s="12"/>
      <c r="G556" s="13"/>
      <c r="H556" s="12"/>
    </row>
    <row r="557" spans="5:8" ht="13.5" customHeight="1" x14ac:dyDescent="0.3">
      <c r="E557" s="12"/>
      <c r="F557" s="12"/>
      <c r="G557" s="13"/>
      <c r="H557" s="12"/>
    </row>
    <row r="558" spans="5:8" ht="13.5" customHeight="1" x14ac:dyDescent="0.3">
      <c r="E558" s="12"/>
      <c r="F558" s="12"/>
      <c r="G558" s="13"/>
      <c r="H558" s="12"/>
    </row>
    <row r="559" spans="5:8" ht="13.5" customHeight="1" x14ac:dyDescent="0.3">
      <c r="E559" s="12"/>
      <c r="F559" s="12"/>
      <c r="G559" s="13"/>
      <c r="H559" s="12"/>
    </row>
    <row r="560" spans="5:8" ht="13.5" customHeight="1" x14ac:dyDescent="0.3">
      <c r="E560" s="12"/>
      <c r="F560" s="12"/>
      <c r="G560" s="13"/>
      <c r="H560" s="12"/>
    </row>
    <row r="561" spans="5:8" ht="13.5" customHeight="1" x14ac:dyDescent="0.3">
      <c r="E561" s="12"/>
      <c r="F561" s="12"/>
      <c r="G561" s="13"/>
      <c r="H561" s="12"/>
    </row>
    <row r="562" spans="5:8" ht="13.5" customHeight="1" x14ac:dyDescent="0.3">
      <c r="E562" s="12"/>
      <c r="F562" s="12"/>
      <c r="G562" s="13"/>
      <c r="H562" s="12"/>
    </row>
    <row r="563" spans="5:8" ht="13.5" customHeight="1" x14ac:dyDescent="0.3">
      <c r="E563" s="12"/>
      <c r="F563" s="12"/>
      <c r="G563" s="13"/>
      <c r="H563" s="12"/>
    </row>
    <row r="564" spans="5:8" ht="13.5" customHeight="1" x14ac:dyDescent="0.3">
      <c r="E564" s="12"/>
      <c r="F564" s="12"/>
      <c r="G564" s="13"/>
      <c r="H564" s="12"/>
    </row>
    <row r="565" spans="5:8" ht="13.5" customHeight="1" x14ac:dyDescent="0.3">
      <c r="E565" s="12"/>
      <c r="F565" s="12"/>
      <c r="G565" s="13"/>
      <c r="H565" s="12"/>
    </row>
    <row r="566" spans="5:8" ht="13.5" customHeight="1" x14ac:dyDescent="0.3">
      <c r="E566" s="12"/>
      <c r="F566" s="12"/>
      <c r="G566" s="13"/>
      <c r="H566" s="12"/>
    </row>
    <row r="567" spans="5:8" ht="13.5" customHeight="1" x14ac:dyDescent="0.3">
      <c r="E567" s="12"/>
      <c r="F567" s="12"/>
      <c r="G567" s="13"/>
      <c r="H567" s="12"/>
    </row>
    <row r="568" spans="5:8" ht="13.5" customHeight="1" x14ac:dyDescent="0.3">
      <c r="E568" s="12"/>
      <c r="F568" s="12"/>
      <c r="G568" s="13"/>
      <c r="H568" s="12"/>
    </row>
    <row r="569" spans="5:8" ht="13.5" customHeight="1" x14ac:dyDescent="0.3">
      <c r="E569" s="12"/>
      <c r="F569" s="12"/>
      <c r="G569" s="13"/>
      <c r="H569" s="12"/>
    </row>
    <row r="570" spans="5:8" ht="13.5" customHeight="1" x14ac:dyDescent="0.3">
      <c r="E570" s="12"/>
      <c r="F570" s="12"/>
      <c r="G570" s="13"/>
      <c r="H570" s="12"/>
    </row>
    <row r="571" spans="5:8" ht="13.5" customHeight="1" x14ac:dyDescent="0.3">
      <c r="E571" s="12"/>
      <c r="F571" s="12"/>
      <c r="G571" s="13"/>
      <c r="H571" s="12"/>
    </row>
    <row r="572" spans="5:8" ht="13.5" customHeight="1" x14ac:dyDescent="0.3">
      <c r="E572" s="12"/>
      <c r="F572" s="12"/>
      <c r="G572" s="13"/>
      <c r="H572" s="12"/>
    </row>
    <row r="573" spans="5:8" ht="13.5" customHeight="1" x14ac:dyDescent="0.3">
      <c r="E573" s="12"/>
      <c r="F573" s="12"/>
      <c r="G573" s="13"/>
      <c r="H573" s="12"/>
    </row>
    <row r="574" spans="5:8" ht="13.5" customHeight="1" x14ac:dyDescent="0.3">
      <c r="E574" s="12"/>
      <c r="F574" s="12"/>
      <c r="G574" s="13"/>
      <c r="H574" s="12"/>
    </row>
    <row r="575" spans="5:8" ht="13.5" customHeight="1" x14ac:dyDescent="0.3">
      <c r="E575" s="12"/>
      <c r="F575" s="12"/>
      <c r="G575" s="13"/>
      <c r="H575" s="12"/>
    </row>
    <row r="576" spans="5:8" ht="13.5" customHeight="1" x14ac:dyDescent="0.3">
      <c r="E576" s="12"/>
      <c r="F576" s="12"/>
      <c r="G576" s="13"/>
      <c r="H576" s="12"/>
    </row>
    <row r="577" spans="5:8" ht="13.5" customHeight="1" x14ac:dyDescent="0.3">
      <c r="E577" s="12"/>
      <c r="F577" s="12"/>
      <c r="G577" s="13"/>
      <c r="H577" s="12"/>
    </row>
    <row r="578" spans="5:8" ht="13.5" customHeight="1" x14ac:dyDescent="0.3">
      <c r="E578" s="12"/>
      <c r="F578" s="12"/>
      <c r="G578" s="13"/>
      <c r="H578" s="12"/>
    </row>
    <row r="579" spans="5:8" ht="13.5" customHeight="1" x14ac:dyDescent="0.3">
      <c r="E579" s="12"/>
      <c r="F579" s="12"/>
      <c r="G579" s="13"/>
      <c r="H579" s="12"/>
    </row>
    <row r="580" spans="5:8" ht="13.5" customHeight="1" x14ac:dyDescent="0.3">
      <c r="E580" s="12"/>
      <c r="F580" s="12"/>
      <c r="G580" s="13"/>
      <c r="H580" s="12"/>
    </row>
    <row r="581" spans="5:8" ht="13.5" customHeight="1" x14ac:dyDescent="0.3">
      <c r="E581" s="12"/>
      <c r="F581" s="12"/>
      <c r="G581" s="13"/>
      <c r="H581" s="12"/>
    </row>
    <row r="582" spans="5:8" ht="13.5" customHeight="1" x14ac:dyDescent="0.3">
      <c r="E582" s="12"/>
      <c r="F582" s="12"/>
      <c r="G582" s="13"/>
      <c r="H582" s="12"/>
    </row>
    <row r="583" spans="5:8" ht="13.5" customHeight="1" x14ac:dyDescent="0.3">
      <c r="E583" s="12"/>
      <c r="F583" s="12"/>
      <c r="G583" s="13"/>
      <c r="H583" s="12"/>
    </row>
    <row r="584" spans="5:8" ht="13.5" customHeight="1" x14ac:dyDescent="0.3">
      <c r="E584" s="12"/>
      <c r="F584" s="12"/>
      <c r="G584" s="13"/>
      <c r="H584" s="12"/>
    </row>
    <row r="585" spans="5:8" ht="13.5" customHeight="1" x14ac:dyDescent="0.3">
      <c r="E585" s="12"/>
      <c r="F585" s="12"/>
      <c r="G585" s="13"/>
      <c r="H585" s="12"/>
    </row>
    <row r="586" spans="5:8" ht="13.5" customHeight="1" x14ac:dyDescent="0.3">
      <c r="E586" s="12"/>
      <c r="F586" s="12"/>
      <c r="G586" s="13"/>
      <c r="H586" s="12"/>
    </row>
    <row r="587" spans="5:8" ht="13.5" customHeight="1" x14ac:dyDescent="0.3">
      <c r="E587" s="12"/>
      <c r="F587" s="12"/>
      <c r="G587" s="13"/>
      <c r="H587" s="12"/>
    </row>
    <row r="588" spans="5:8" ht="13.5" customHeight="1" x14ac:dyDescent="0.3">
      <c r="E588" s="12"/>
      <c r="F588" s="12"/>
      <c r="G588" s="13"/>
      <c r="H588" s="12"/>
    </row>
    <row r="589" spans="5:8" ht="13.5" customHeight="1" x14ac:dyDescent="0.3">
      <c r="E589" s="12"/>
      <c r="F589" s="12"/>
      <c r="G589" s="13"/>
      <c r="H589" s="12"/>
    </row>
    <row r="590" spans="5:8" ht="13.5" customHeight="1" x14ac:dyDescent="0.3">
      <c r="E590" s="12"/>
      <c r="F590" s="12"/>
      <c r="G590" s="13"/>
      <c r="H590" s="12"/>
    </row>
    <row r="591" spans="5:8" ht="13.5" customHeight="1" x14ac:dyDescent="0.3">
      <c r="E591" s="12"/>
      <c r="F591" s="12"/>
      <c r="G591" s="13"/>
      <c r="H591" s="12"/>
    </row>
    <row r="592" spans="5:8" ht="13.5" customHeight="1" x14ac:dyDescent="0.3">
      <c r="E592" s="12"/>
      <c r="F592" s="12"/>
      <c r="G592" s="13"/>
      <c r="H592" s="12"/>
    </row>
    <row r="593" spans="5:8" ht="13.5" customHeight="1" x14ac:dyDescent="0.3">
      <c r="E593" s="12"/>
      <c r="F593" s="12"/>
      <c r="G593" s="13"/>
      <c r="H593" s="12"/>
    </row>
    <row r="594" spans="5:8" ht="13.5" customHeight="1" x14ac:dyDescent="0.3">
      <c r="E594" s="12"/>
      <c r="F594" s="12"/>
      <c r="G594" s="13"/>
      <c r="H594" s="12"/>
    </row>
    <row r="595" spans="5:8" ht="13.5" customHeight="1" x14ac:dyDescent="0.3">
      <c r="E595" s="12"/>
      <c r="F595" s="12"/>
      <c r="G595" s="13"/>
      <c r="H595" s="12"/>
    </row>
    <row r="596" spans="5:8" ht="13.5" customHeight="1" x14ac:dyDescent="0.3">
      <c r="E596" s="12"/>
      <c r="F596" s="12"/>
      <c r="G596" s="13"/>
      <c r="H596" s="12"/>
    </row>
    <row r="597" spans="5:8" ht="13.5" customHeight="1" x14ac:dyDescent="0.3">
      <c r="E597" s="12"/>
      <c r="F597" s="12"/>
      <c r="G597" s="13"/>
      <c r="H597" s="12"/>
    </row>
    <row r="598" spans="5:8" ht="13.5" customHeight="1" x14ac:dyDescent="0.3">
      <c r="E598" s="12"/>
      <c r="F598" s="12"/>
      <c r="G598" s="13"/>
      <c r="H598" s="12"/>
    </row>
    <row r="599" spans="5:8" ht="13.5" customHeight="1" x14ac:dyDescent="0.3">
      <c r="E599" s="12"/>
      <c r="F599" s="12"/>
      <c r="G599" s="13"/>
      <c r="H599" s="12"/>
    </row>
    <row r="600" spans="5:8" ht="13.5" customHeight="1" x14ac:dyDescent="0.3">
      <c r="E600" s="12"/>
      <c r="F600" s="12"/>
      <c r="G600" s="13"/>
      <c r="H600" s="12"/>
    </row>
    <row r="601" spans="5:8" ht="13.5" customHeight="1" x14ac:dyDescent="0.3">
      <c r="E601" s="12"/>
      <c r="F601" s="12"/>
      <c r="G601" s="13"/>
      <c r="H601" s="12"/>
    </row>
    <row r="602" spans="5:8" ht="13.5" customHeight="1" x14ac:dyDescent="0.3">
      <c r="E602" s="12"/>
      <c r="F602" s="12"/>
      <c r="G602" s="13"/>
      <c r="H602" s="12"/>
    </row>
    <row r="603" spans="5:8" ht="13.5" customHeight="1" x14ac:dyDescent="0.3">
      <c r="E603" s="12"/>
      <c r="F603" s="12"/>
      <c r="G603" s="13"/>
      <c r="H603" s="12"/>
    </row>
    <row r="604" spans="5:8" ht="13.5" customHeight="1" x14ac:dyDescent="0.3">
      <c r="E604" s="12"/>
      <c r="F604" s="12"/>
      <c r="G604" s="13"/>
      <c r="H604" s="12"/>
    </row>
    <row r="605" spans="5:8" ht="13.5" customHeight="1" x14ac:dyDescent="0.3">
      <c r="E605" s="12"/>
      <c r="F605" s="12"/>
      <c r="G605" s="13"/>
      <c r="H605" s="12"/>
    </row>
    <row r="606" spans="5:8" ht="13.5" customHeight="1" x14ac:dyDescent="0.3">
      <c r="E606" s="12"/>
      <c r="F606" s="12"/>
      <c r="G606" s="13"/>
      <c r="H606" s="12"/>
    </row>
    <row r="607" spans="5:8" ht="13.5" customHeight="1" x14ac:dyDescent="0.3">
      <c r="E607" s="12"/>
      <c r="F607" s="12"/>
      <c r="G607" s="13"/>
      <c r="H607" s="12"/>
    </row>
    <row r="608" spans="5:8" ht="13.5" customHeight="1" x14ac:dyDescent="0.3">
      <c r="E608" s="12"/>
      <c r="F608" s="12"/>
      <c r="G608" s="13"/>
      <c r="H608" s="12"/>
    </row>
    <row r="609" spans="5:8" ht="13.5" customHeight="1" x14ac:dyDescent="0.3">
      <c r="E609" s="12"/>
      <c r="F609" s="12"/>
      <c r="G609" s="13"/>
      <c r="H609" s="12"/>
    </row>
    <row r="610" spans="5:8" ht="13.5" customHeight="1" x14ac:dyDescent="0.3">
      <c r="E610" s="12"/>
      <c r="F610" s="12"/>
      <c r="G610" s="13"/>
      <c r="H610" s="12"/>
    </row>
    <row r="611" spans="5:8" ht="13.5" customHeight="1" x14ac:dyDescent="0.3">
      <c r="E611" s="12"/>
      <c r="F611" s="12"/>
      <c r="G611" s="13"/>
      <c r="H611" s="12"/>
    </row>
    <row r="612" spans="5:8" ht="13.5" customHeight="1" x14ac:dyDescent="0.3">
      <c r="E612" s="12"/>
      <c r="F612" s="12"/>
      <c r="G612" s="13"/>
      <c r="H612" s="12"/>
    </row>
    <row r="613" spans="5:8" ht="13.5" customHeight="1" x14ac:dyDescent="0.3">
      <c r="E613" s="12"/>
      <c r="F613" s="12"/>
      <c r="G613" s="13"/>
      <c r="H613" s="12"/>
    </row>
    <row r="614" spans="5:8" ht="13.5" customHeight="1" x14ac:dyDescent="0.3">
      <c r="E614" s="12"/>
      <c r="F614" s="12"/>
      <c r="G614" s="13"/>
      <c r="H614" s="12"/>
    </row>
    <row r="615" spans="5:8" ht="13.5" customHeight="1" x14ac:dyDescent="0.3">
      <c r="E615" s="12"/>
      <c r="F615" s="12"/>
      <c r="G615" s="13"/>
      <c r="H615" s="12"/>
    </row>
    <row r="616" spans="5:8" ht="13.5" customHeight="1" x14ac:dyDescent="0.3">
      <c r="E616" s="12"/>
      <c r="F616" s="12"/>
      <c r="G616" s="13"/>
      <c r="H616" s="12"/>
    </row>
    <row r="617" spans="5:8" ht="13.5" customHeight="1" x14ac:dyDescent="0.3">
      <c r="E617" s="12"/>
      <c r="F617" s="12"/>
      <c r="G617" s="13"/>
      <c r="H617" s="12"/>
    </row>
    <row r="618" spans="5:8" ht="13.5" customHeight="1" x14ac:dyDescent="0.3">
      <c r="E618" s="12"/>
      <c r="F618" s="12"/>
      <c r="G618" s="13"/>
      <c r="H618" s="12"/>
    </row>
    <row r="619" spans="5:8" ht="13.5" customHeight="1" x14ac:dyDescent="0.3">
      <c r="E619" s="12"/>
      <c r="F619" s="12"/>
      <c r="G619" s="13"/>
      <c r="H619" s="12"/>
    </row>
    <row r="620" spans="5:8" ht="13.5" customHeight="1" x14ac:dyDescent="0.3">
      <c r="E620" s="12"/>
      <c r="F620" s="12"/>
      <c r="G620" s="13"/>
      <c r="H620" s="12"/>
    </row>
    <row r="621" spans="5:8" ht="13.5" customHeight="1" x14ac:dyDescent="0.3">
      <c r="E621" s="12"/>
      <c r="F621" s="12"/>
      <c r="G621" s="13"/>
      <c r="H621" s="12"/>
    </row>
    <row r="622" spans="5:8" ht="13.5" customHeight="1" x14ac:dyDescent="0.3">
      <c r="E622" s="12"/>
      <c r="F622" s="12"/>
      <c r="G622" s="13"/>
      <c r="H622" s="12"/>
    </row>
    <row r="623" spans="5:8" ht="13.5" customHeight="1" x14ac:dyDescent="0.3">
      <c r="E623" s="12"/>
      <c r="F623" s="12"/>
      <c r="G623" s="13"/>
      <c r="H623" s="12"/>
    </row>
    <row r="624" spans="5:8" ht="13.5" customHeight="1" x14ac:dyDescent="0.3">
      <c r="E624" s="12"/>
      <c r="F624" s="12"/>
      <c r="G624" s="13"/>
      <c r="H624" s="12"/>
    </row>
    <row r="625" spans="5:8" ht="13.5" customHeight="1" x14ac:dyDescent="0.3">
      <c r="E625" s="12"/>
      <c r="F625" s="12"/>
      <c r="G625" s="13"/>
      <c r="H625" s="12"/>
    </row>
    <row r="626" spans="5:8" ht="13.5" customHeight="1" x14ac:dyDescent="0.3">
      <c r="E626" s="12"/>
      <c r="F626" s="12"/>
      <c r="G626" s="13"/>
      <c r="H626" s="12"/>
    </row>
    <row r="627" spans="5:8" ht="13.5" customHeight="1" x14ac:dyDescent="0.3">
      <c r="E627" s="12"/>
      <c r="F627" s="12"/>
      <c r="G627" s="13"/>
      <c r="H627" s="12"/>
    </row>
    <row r="628" spans="5:8" ht="13.5" customHeight="1" x14ac:dyDescent="0.3">
      <c r="E628" s="12"/>
      <c r="F628" s="12"/>
      <c r="G628" s="13"/>
      <c r="H628" s="12"/>
    </row>
    <row r="629" spans="5:8" ht="13.5" customHeight="1" x14ac:dyDescent="0.3">
      <c r="E629" s="12"/>
      <c r="F629" s="12"/>
      <c r="G629" s="13"/>
      <c r="H629" s="12"/>
    </row>
    <row r="630" spans="5:8" ht="13.5" customHeight="1" x14ac:dyDescent="0.3">
      <c r="E630" s="12"/>
      <c r="F630" s="12"/>
      <c r="G630" s="13"/>
      <c r="H630" s="12"/>
    </row>
    <row r="631" spans="5:8" ht="13.5" customHeight="1" x14ac:dyDescent="0.3">
      <c r="E631" s="12"/>
      <c r="F631" s="12"/>
      <c r="G631" s="13"/>
      <c r="H631" s="12"/>
    </row>
    <row r="632" spans="5:8" ht="13.5" customHeight="1" x14ac:dyDescent="0.3">
      <c r="E632" s="12"/>
      <c r="F632" s="12"/>
      <c r="G632" s="13"/>
      <c r="H632" s="12"/>
    </row>
    <row r="633" spans="5:8" ht="13.5" customHeight="1" x14ac:dyDescent="0.3">
      <c r="E633" s="12"/>
      <c r="F633" s="12"/>
      <c r="G633" s="13"/>
      <c r="H633" s="12"/>
    </row>
    <row r="634" spans="5:8" ht="13.5" customHeight="1" x14ac:dyDescent="0.3">
      <c r="E634" s="12"/>
      <c r="F634" s="12"/>
      <c r="G634" s="13"/>
      <c r="H634" s="12"/>
    </row>
    <row r="635" spans="5:8" ht="13.5" customHeight="1" x14ac:dyDescent="0.3">
      <c r="E635" s="12"/>
      <c r="F635" s="12"/>
      <c r="G635" s="13"/>
      <c r="H635" s="12"/>
    </row>
    <row r="636" spans="5:8" ht="13.5" customHeight="1" x14ac:dyDescent="0.3">
      <c r="E636" s="12"/>
      <c r="F636" s="12"/>
      <c r="G636" s="13"/>
      <c r="H636" s="12"/>
    </row>
    <row r="637" spans="5:8" ht="13.5" customHeight="1" x14ac:dyDescent="0.3">
      <c r="E637" s="12"/>
      <c r="F637" s="12"/>
      <c r="G637" s="13"/>
      <c r="H637" s="12"/>
    </row>
    <row r="638" spans="5:8" ht="13.5" customHeight="1" x14ac:dyDescent="0.3">
      <c r="E638" s="12"/>
      <c r="F638" s="12"/>
      <c r="G638" s="13"/>
      <c r="H638" s="12"/>
    </row>
    <row r="639" spans="5:8" ht="13.5" customHeight="1" x14ac:dyDescent="0.3">
      <c r="E639" s="12"/>
      <c r="F639" s="12"/>
      <c r="G639" s="13"/>
      <c r="H639" s="12"/>
    </row>
    <row r="640" spans="5:8" ht="13.5" customHeight="1" x14ac:dyDescent="0.3">
      <c r="E640" s="12"/>
      <c r="F640" s="12"/>
      <c r="G640" s="13"/>
      <c r="H640" s="12"/>
    </row>
    <row r="641" spans="5:8" ht="13.5" customHeight="1" x14ac:dyDescent="0.3">
      <c r="E641" s="12"/>
      <c r="F641" s="12"/>
      <c r="G641" s="13"/>
      <c r="H641" s="12"/>
    </row>
    <row r="642" spans="5:8" ht="13.5" customHeight="1" x14ac:dyDescent="0.3">
      <c r="E642" s="12"/>
      <c r="F642" s="12"/>
      <c r="G642" s="13"/>
      <c r="H642" s="12"/>
    </row>
    <row r="643" spans="5:8" ht="13.5" customHeight="1" x14ac:dyDescent="0.3">
      <c r="E643" s="12"/>
      <c r="F643" s="12"/>
      <c r="G643" s="13"/>
      <c r="H643" s="12"/>
    </row>
    <row r="644" spans="5:8" ht="13.5" customHeight="1" x14ac:dyDescent="0.3">
      <c r="E644" s="12"/>
      <c r="F644" s="12"/>
      <c r="G644" s="13"/>
      <c r="H644" s="12"/>
    </row>
    <row r="645" spans="5:8" ht="13.5" customHeight="1" x14ac:dyDescent="0.3">
      <c r="E645" s="12"/>
      <c r="F645" s="12"/>
      <c r="G645" s="13"/>
      <c r="H645" s="12"/>
    </row>
    <row r="646" spans="5:8" ht="13.5" customHeight="1" x14ac:dyDescent="0.3">
      <c r="E646" s="12"/>
      <c r="F646" s="12"/>
      <c r="G646" s="13"/>
      <c r="H646" s="12"/>
    </row>
    <row r="647" spans="5:8" ht="13.5" customHeight="1" x14ac:dyDescent="0.3">
      <c r="E647" s="12"/>
      <c r="F647" s="12"/>
      <c r="G647" s="13"/>
      <c r="H647" s="12"/>
    </row>
    <row r="648" spans="5:8" ht="13.5" customHeight="1" x14ac:dyDescent="0.3">
      <c r="E648" s="12"/>
      <c r="F648" s="12"/>
      <c r="G648" s="13"/>
      <c r="H648" s="12"/>
    </row>
    <row r="649" spans="5:8" ht="13.5" customHeight="1" x14ac:dyDescent="0.3">
      <c r="E649" s="12"/>
      <c r="F649" s="12"/>
      <c r="G649" s="13"/>
      <c r="H649" s="12"/>
    </row>
    <row r="650" spans="5:8" ht="13.5" customHeight="1" x14ac:dyDescent="0.3">
      <c r="E650" s="12"/>
      <c r="F650" s="12"/>
      <c r="G650" s="13"/>
      <c r="H650" s="12"/>
    </row>
    <row r="651" spans="5:8" ht="13.5" customHeight="1" x14ac:dyDescent="0.3">
      <c r="E651" s="12"/>
      <c r="F651" s="12"/>
      <c r="G651" s="13"/>
      <c r="H651" s="12"/>
    </row>
    <row r="652" spans="5:8" ht="13.5" customHeight="1" x14ac:dyDescent="0.3">
      <c r="E652" s="12"/>
      <c r="F652" s="12"/>
      <c r="G652" s="13"/>
      <c r="H652" s="12"/>
    </row>
    <row r="653" spans="5:8" ht="13.5" customHeight="1" x14ac:dyDescent="0.3">
      <c r="E653" s="12"/>
      <c r="F653" s="12"/>
      <c r="G653" s="13"/>
      <c r="H653" s="12"/>
    </row>
    <row r="654" spans="5:8" ht="13.5" customHeight="1" x14ac:dyDescent="0.3">
      <c r="E654" s="12"/>
      <c r="F654" s="12"/>
      <c r="G654" s="13"/>
      <c r="H654" s="12"/>
    </row>
    <row r="655" spans="5:8" ht="13.5" customHeight="1" x14ac:dyDescent="0.3">
      <c r="E655" s="12"/>
      <c r="F655" s="12"/>
      <c r="G655" s="13"/>
      <c r="H655" s="12"/>
    </row>
    <row r="656" spans="5:8" ht="13.5" customHeight="1" x14ac:dyDescent="0.3">
      <c r="E656" s="12"/>
      <c r="F656" s="12"/>
      <c r="G656" s="13"/>
      <c r="H656" s="12"/>
    </row>
    <row r="657" spans="5:8" ht="13.5" customHeight="1" x14ac:dyDescent="0.3">
      <c r="E657" s="12"/>
      <c r="F657" s="12"/>
      <c r="G657" s="13"/>
      <c r="H657" s="12"/>
    </row>
    <row r="658" spans="5:8" ht="13.5" customHeight="1" x14ac:dyDescent="0.3">
      <c r="E658" s="12"/>
      <c r="F658" s="12"/>
      <c r="G658" s="13"/>
      <c r="H658" s="12"/>
    </row>
    <row r="659" spans="5:8" ht="13.5" customHeight="1" x14ac:dyDescent="0.3">
      <c r="E659" s="12"/>
      <c r="F659" s="12"/>
      <c r="G659" s="13"/>
      <c r="H659" s="12"/>
    </row>
    <row r="660" spans="5:8" ht="13.5" customHeight="1" x14ac:dyDescent="0.3">
      <c r="E660" s="12"/>
      <c r="F660" s="12"/>
      <c r="G660" s="13"/>
      <c r="H660" s="12"/>
    </row>
    <row r="661" spans="5:8" ht="13.5" customHeight="1" x14ac:dyDescent="0.3">
      <c r="E661" s="12"/>
      <c r="F661" s="12"/>
      <c r="G661" s="13"/>
      <c r="H661" s="12"/>
    </row>
    <row r="662" spans="5:8" ht="13.5" customHeight="1" x14ac:dyDescent="0.3">
      <c r="E662" s="12"/>
      <c r="F662" s="12"/>
      <c r="G662" s="13"/>
      <c r="H662" s="12"/>
    </row>
    <row r="663" spans="5:8" ht="13.5" customHeight="1" x14ac:dyDescent="0.3">
      <c r="E663" s="12"/>
      <c r="F663" s="12"/>
      <c r="G663" s="13"/>
      <c r="H663" s="12"/>
    </row>
    <row r="664" spans="5:8" ht="13.5" customHeight="1" x14ac:dyDescent="0.3">
      <c r="E664" s="12"/>
      <c r="F664" s="12"/>
      <c r="G664" s="13"/>
      <c r="H664" s="12"/>
    </row>
    <row r="665" spans="5:8" ht="13.5" customHeight="1" x14ac:dyDescent="0.3">
      <c r="E665" s="12"/>
      <c r="F665" s="12"/>
      <c r="G665" s="13"/>
      <c r="H665" s="12"/>
    </row>
    <row r="666" spans="5:8" ht="13.5" customHeight="1" x14ac:dyDescent="0.3">
      <c r="E666" s="12"/>
      <c r="F666" s="12"/>
      <c r="G666" s="13"/>
      <c r="H666" s="12"/>
    </row>
    <row r="667" spans="5:8" ht="13.5" customHeight="1" x14ac:dyDescent="0.3">
      <c r="E667" s="12"/>
      <c r="F667" s="12"/>
      <c r="G667" s="13"/>
      <c r="H667" s="12"/>
    </row>
    <row r="668" spans="5:8" ht="13.5" customHeight="1" x14ac:dyDescent="0.3">
      <c r="E668" s="12"/>
      <c r="F668" s="12"/>
      <c r="G668" s="13"/>
      <c r="H668" s="12"/>
    </row>
    <row r="669" spans="5:8" ht="13.5" customHeight="1" x14ac:dyDescent="0.3">
      <c r="E669" s="12"/>
      <c r="F669" s="12"/>
      <c r="G669" s="13"/>
      <c r="H669" s="12"/>
    </row>
    <row r="670" spans="5:8" ht="13.5" customHeight="1" x14ac:dyDescent="0.3">
      <c r="E670" s="12"/>
      <c r="F670" s="12"/>
      <c r="G670" s="13"/>
      <c r="H670" s="12"/>
    </row>
    <row r="671" spans="5:8" ht="13.5" customHeight="1" x14ac:dyDescent="0.3">
      <c r="E671" s="12"/>
      <c r="F671" s="12"/>
      <c r="G671" s="13"/>
      <c r="H671" s="12"/>
    </row>
    <row r="672" spans="5:8" ht="13.5" customHeight="1" x14ac:dyDescent="0.3">
      <c r="E672" s="12"/>
      <c r="F672" s="12"/>
      <c r="G672" s="13"/>
      <c r="H672" s="12"/>
    </row>
    <row r="673" spans="5:8" ht="13.5" customHeight="1" x14ac:dyDescent="0.3">
      <c r="E673" s="12"/>
      <c r="F673" s="12"/>
      <c r="G673" s="13"/>
      <c r="H673" s="12"/>
    </row>
    <row r="674" spans="5:8" ht="13.5" customHeight="1" x14ac:dyDescent="0.3">
      <c r="E674" s="12"/>
      <c r="F674" s="12"/>
      <c r="G674" s="13"/>
      <c r="H674" s="12"/>
    </row>
    <row r="675" spans="5:8" ht="13.5" customHeight="1" x14ac:dyDescent="0.3">
      <c r="E675" s="12"/>
      <c r="F675" s="12"/>
      <c r="G675" s="13"/>
      <c r="H675" s="12"/>
    </row>
    <row r="676" spans="5:8" ht="13.5" customHeight="1" x14ac:dyDescent="0.3">
      <c r="E676" s="12"/>
      <c r="F676" s="12"/>
      <c r="G676" s="13"/>
      <c r="H676" s="12"/>
    </row>
    <row r="677" spans="5:8" ht="13.5" customHeight="1" x14ac:dyDescent="0.3">
      <c r="E677" s="12"/>
      <c r="F677" s="12"/>
      <c r="G677" s="13"/>
      <c r="H677" s="12"/>
    </row>
    <row r="678" spans="5:8" ht="13.5" customHeight="1" x14ac:dyDescent="0.3">
      <c r="E678" s="12"/>
      <c r="F678" s="12"/>
      <c r="G678" s="13"/>
      <c r="H678" s="12"/>
    </row>
    <row r="679" spans="5:8" ht="13.5" customHeight="1" x14ac:dyDescent="0.3">
      <c r="E679" s="12"/>
      <c r="F679" s="12"/>
      <c r="G679" s="13"/>
      <c r="H679" s="12"/>
    </row>
    <row r="680" spans="5:8" ht="13.5" customHeight="1" x14ac:dyDescent="0.3">
      <c r="E680" s="12"/>
      <c r="F680" s="12"/>
      <c r="G680" s="13"/>
      <c r="H680" s="12"/>
    </row>
    <row r="681" spans="5:8" ht="13.5" customHeight="1" x14ac:dyDescent="0.3">
      <c r="E681" s="12"/>
      <c r="F681" s="12"/>
      <c r="G681" s="13"/>
      <c r="H681" s="12"/>
    </row>
    <row r="682" spans="5:8" ht="13.5" customHeight="1" x14ac:dyDescent="0.3">
      <c r="E682" s="12"/>
      <c r="F682" s="12"/>
      <c r="G682" s="13"/>
      <c r="H682" s="12"/>
    </row>
    <row r="683" spans="5:8" ht="13.5" customHeight="1" x14ac:dyDescent="0.3">
      <c r="E683" s="12"/>
      <c r="F683" s="12"/>
      <c r="G683" s="13"/>
      <c r="H683" s="12"/>
    </row>
    <row r="684" spans="5:8" ht="13.5" customHeight="1" x14ac:dyDescent="0.3">
      <c r="E684" s="12"/>
      <c r="F684" s="12"/>
      <c r="G684" s="13"/>
      <c r="H684" s="12"/>
    </row>
    <row r="685" spans="5:8" ht="13.5" customHeight="1" x14ac:dyDescent="0.3">
      <c r="E685" s="12"/>
      <c r="F685" s="12"/>
      <c r="G685" s="13"/>
      <c r="H685" s="12"/>
    </row>
    <row r="686" spans="5:8" ht="13.5" customHeight="1" x14ac:dyDescent="0.3">
      <c r="E686" s="12"/>
      <c r="F686" s="12"/>
      <c r="G686" s="13"/>
      <c r="H686" s="12"/>
    </row>
    <row r="687" spans="5:8" ht="13.5" customHeight="1" x14ac:dyDescent="0.3">
      <c r="E687" s="12"/>
      <c r="F687" s="12"/>
      <c r="G687" s="13"/>
      <c r="H687" s="12"/>
    </row>
    <row r="688" spans="5:8" ht="13.5" customHeight="1" x14ac:dyDescent="0.3">
      <c r="E688" s="12"/>
      <c r="F688" s="12"/>
      <c r="G688" s="13"/>
      <c r="H688" s="12"/>
    </row>
    <row r="689" spans="5:8" ht="13.5" customHeight="1" x14ac:dyDescent="0.3">
      <c r="E689" s="12"/>
      <c r="F689" s="12"/>
      <c r="G689" s="13"/>
      <c r="H689" s="12"/>
    </row>
    <row r="690" spans="5:8" ht="13.5" customHeight="1" x14ac:dyDescent="0.3">
      <c r="E690" s="12"/>
      <c r="F690" s="12"/>
      <c r="G690" s="13"/>
      <c r="H690" s="12"/>
    </row>
    <row r="691" spans="5:8" ht="13.5" customHeight="1" x14ac:dyDescent="0.3">
      <c r="E691" s="12"/>
      <c r="F691" s="12"/>
      <c r="G691" s="13"/>
      <c r="H691" s="12"/>
    </row>
    <row r="692" spans="5:8" ht="13.5" customHeight="1" x14ac:dyDescent="0.3">
      <c r="E692" s="12"/>
      <c r="F692" s="12"/>
      <c r="G692" s="13"/>
      <c r="H692" s="12"/>
    </row>
    <row r="693" spans="5:8" ht="13.5" customHeight="1" x14ac:dyDescent="0.3">
      <c r="E693" s="12"/>
      <c r="F693" s="12"/>
      <c r="G693" s="13"/>
      <c r="H693" s="12"/>
    </row>
    <row r="694" spans="5:8" ht="13.5" customHeight="1" x14ac:dyDescent="0.3">
      <c r="E694" s="12"/>
      <c r="F694" s="12"/>
      <c r="G694" s="13"/>
      <c r="H694" s="12"/>
    </row>
    <row r="695" spans="5:8" ht="13.5" customHeight="1" x14ac:dyDescent="0.3">
      <c r="E695" s="12"/>
      <c r="F695" s="12"/>
      <c r="G695" s="13"/>
      <c r="H695" s="12"/>
    </row>
    <row r="696" spans="5:8" ht="13.5" customHeight="1" x14ac:dyDescent="0.3">
      <c r="E696" s="12"/>
      <c r="F696" s="12"/>
      <c r="G696" s="13"/>
      <c r="H696" s="12"/>
    </row>
    <row r="697" spans="5:8" ht="13.5" customHeight="1" x14ac:dyDescent="0.3">
      <c r="E697" s="12"/>
      <c r="F697" s="12"/>
      <c r="G697" s="13"/>
      <c r="H697" s="12"/>
    </row>
    <row r="698" spans="5:8" ht="13.5" customHeight="1" x14ac:dyDescent="0.3">
      <c r="E698" s="12"/>
      <c r="F698" s="12"/>
      <c r="G698" s="13"/>
      <c r="H698" s="12"/>
    </row>
    <row r="699" spans="5:8" ht="13.5" customHeight="1" x14ac:dyDescent="0.3">
      <c r="E699" s="12"/>
      <c r="F699" s="12"/>
      <c r="G699" s="13"/>
      <c r="H699" s="12"/>
    </row>
    <row r="700" spans="5:8" ht="13.5" customHeight="1" x14ac:dyDescent="0.3">
      <c r="E700" s="12"/>
      <c r="F700" s="12"/>
      <c r="G700" s="13"/>
      <c r="H700" s="12"/>
    </row>
    <row r="701" spans="5:8" ht="13.5" customHeight="1" x14ac:dyDescent="0.3">
      <c r="E701" s="12"/>
      <c r="F701" s="12"/>
      <c r="G701" s="13"/>
      <c r="H701" s="12"/>
    </row>
    <row r="702" spans="5:8" ht="13.5" customHeight="1" x14ac:dyDescent="0.3">
      <c r="E702" s="12"/>
      <c r="F702" s="12"/>
      <c r="G702" s="13"/>
      <c r="H702" s="12"/>
    </row>
    <row r="703" spans="5:8" ht="13.5" customHeight="1" x14ac:dyDescent="0.3">
      <c r="E703" s="12"/>
      <c r="F703" s="12"/>
      <c r="G703" s="13"/>
      <c r="H703" s="12"/>
    </row>
    <row r="704" spans="5:8" ht="13.5" customHeight="1" x14ac:dyDescent="0.3">
      <c r="E704" s="12"/>
      <c r="F704" s="12"/>
      <c r="G704" s="13"/>
      <c r="H704" s="12"/>
    </row>
    <row r="705" spans="5:8" ht="13.5" customHeight="1" x14ac:dyDescent="0.3">
      <c r="E705" s="12"/>
      <c r="F705" s="12"/>
      <c r="G705" s="13"/>
      <c r="H705" s="12"/>
    </row>
    <row r="706" spans="5:8" ht="13.5" customHeight="1" x14ac:dyDescent="0.3">
      <c r="E706" s="12"/>
      <c r="F706" s="12"/>
      <c r="G706" s="13"/>
      <c r="H706" s="12"/>
    </row>
    <row r="707" spans="5:8" ht="13.5" customHeight="1" x14ac:dyDescent="0.3">
      <c r="E707" s="12"/>
      <c r="F707" s="12"/>
      <c r="G707" s="13"/>
      <c r="H707" s="12"/>
    </row>
    <row r="708" spans="5:8" ht="13.5" customHeight="1" x14ac:dyDescent="0.3">
      <c r="E708" s="12"/>
      <c r="F708" s="12"/>
      <c r="G708" s="13"/>
      <c r="H708" s="12"/>
    </row>
    <row r="709" spans="5:8" ht="13.5" customHeight="1" x14ac:dyDescent="0.3">
      <c r="E709" s="12"/>
      <c r="F709" s="12"/>
      <c r="G709" s="13"/>
      <c r="H709" s="12"/>
    </row>
    <row r="710" spans="5:8" ht="13.5" customHeight="1" x14ac:dyDescent="0.3">
      <c r="E710" s="12"/>
      <c r="F710" s="12"/>
      <c r="G710" s="13"/>
      <c r="H710" s="12"/>
    </row>
    <row r="711" spans="5:8" ht="13.5" customHeight="1" x14ac:dyDescent="0.3">
      <c r="E711" s="12"/>
      <c r="F711" s="12"/>
      <c r="G711" s="13"/>
      <c r="H711" s="12"/>
    </row>
    <row r="712" spans="5:8" ht="13.5" customHeight="1" x14ac:dyDescent="0.3">
      <c r="E712" s="12"/>
      <c r="F712" s="12"/>
      <c r="G712" s="13"/>
      <c r="H712" s="12"/>
    </row>
    <row r="713" spans="5:8" ht="13.5" customHeight="1" x14ac:dyDescent="0.3">
      <c r="E713" s="12"/>
      <c r="F713" s="12"/>
      <c r="G713" s="13"/>
      <c r="H713" s="12"/>
    </row>
    <row r="714" spans="5:8" ht="13.5" customHeight="1" x14ac:dyDescent="0.3">
      <c r="E714" s="12"/>
      <c r="F714" s="12"/>
      <c r="G714" s="13"/>
      <c r="H714" s="12"/>
    </row>
    <row r="715" spans="5:8" ht="13.5" customHeight="1" x14ac:dyDescent="0.3">
      <c r="E715" s="12"/>
      <c r="F715" s="12"/>
      <c r="G715" s="13"/>
      <c r="H715" s="12"/>
    </row>
    <row r="716" spans="5:8" ht="13.5" customHeight="1" x14ac:dyDescent="0.3">
      <c r="E716" s="12"/>
      <c r="F716" s="12"/>
      <c r="G716" s="13"/>
      <c r="H716" s="12"/>
    </row>
    <row r="717" spans="5:8" ht="13.5" customHeight="1" x14ac:dyDescent="0.3">
      <c r="E717" s="12"/>
      <c r="F717" s="12"/>
      <c r="G717" s="13"/>
      <c r="H717" s="12"/>
    </row>
    <row r="718" spans="5:8" ht="13.5" customHeight="1" x14ac:dyDescent="0.3">
      <c r="E718" s="12"/>
      <c r="F718" s="12"/>
      <c r="G718" s="13"/>
      <c r="H718" s="12"/>
    </row>
    <row r="719" spans="5:8" ht="13.5" customHeight="1" x14ac:dyDescent="0.3">
      <c r="E719" s="12"/>
      <c r="F719" s="12"/>
      <c r="G719" s="13"/>
      <c r="H719" s="12"/>
    </row>
    <row r="720" spans="5:8" ht="13.5" customHeight="1" x14ac:dyDescent="0.3">
      <c r="E720" s="12"/>
      <c r="F720" s="12"/>
      <c r="G720" s="13"/>
      <c r="H720" s="12"/>
    </row>
    <row r="721" spans="5:8" ht="13.5" customHeight="1" x14ac:dyDescent="0.3">
      <c r="E721" s="12"/>
      <c r="F721" s="12"/>
      <c r="G721" s="13"/>
      <c r="H721" s="12"/>
    </row>
    <row r="722" spans="5:8" ht="13.5" customHeight="1" x14ac:dyDescent="0.3">
      <c r="E722" s="12"/>
      <c r="F722" s="12"/>
      <c r="G722" s="13"/>
      <c r="H722" s="12"/>
    </row>
    <row r="723" spans="5:8" ht="13.5" customHeight="1" x14ac:dyDescent="0.3">
      <c r="E723" s="12"/>
      <c r="F723" s="12"/>
      <c r="G723" s="13"/>
      <c r="H723" s="12"/>
    </row>
    <row r="724" spans="5:8" ht="13.5" customHeight="1" x14ac:dyDescent="0.3">
      <c r="E724" s="12"/>
      <c r="F724" s="12"/>
      <c r="G724" s="13"/>
      <c r="H724" s="12"/>
    </row>
    <row r="725" spans="5:8" ht="13.5" customHeight="1" x14ac:dyDescent="0.3">
      <c r="E725" s="12"/>
      <c r="F725" s="12"/>
      <c r="G725" s="13"/>
      <c r="H725" s="12"/>
    </row>
    <row r="726" spans="5:8" ht="13.5" customHeight="1" x14ac:dyDescent="0.3">
      <c r="E726" s="12"/>
      <c r="F726" s="12"/>
      <c r="G726" s="13"/>
      <c r="H726" s="12"/>
    </row>
    <row r="727" spans="5:8" ht="13.5" customHeight="1" x14ac:dyDescent="0.3">
      <c r="E727" s="12"/>
      <c r="F727" s="12"/>
      <c r="G727" s="13"/>
      <c r="H727" s="12"/>
    </row>
    <row r="728" spans="5:8" ht="13.5" customHeight="1" x14ac:dyDescent="0.3">
      <c r="E728" s="12"/>
      <c r="F728" s="12"/>
      <c r="G728" s="13"/>
      <c r="H728" s="12"/>
    </row>
    <row r="729" spans="5:8" ht="13.5" customHeight="1" x14ac:dyDescent="0.3">
      <c r="E729" s="12"/>
      <c r="F729" s="12"/>
      <c r="G729" s="13"/>
      <c r="H729" s="12"/>
    </row>
    <row r="730" spans="5:8" ht="13.5" customHeight="1" x14ac:dyDescent="0.3">
      <c r="E730" s="12"/>
      <c r="F730" s="12"/>
      <c r="G730" s="13"/>
      <c r="H730" s="12"/>
    </row>
    <row r="731" spans="5:8" ht="13.5" customHeight="1" x14ac:dyDescent="0.3">
      <c r="E731" s="12"/>
      <c r="F731" s="12"/>
      <c r="G731" s="13"/>
      <c r="H731" s="12"/>
    </row>
    <row r="732" spans="5:8" ht="13.5" customHeight="1" x14ac:dyDescent="0.3">
      <c r="E732" s="12"/>
      <c r="F732" s="12"/>
      <c r="G732" s="13"/>
      <c r="H732" s="12"/>
    </row>
    <row r="733" spans="5:8" ht="13.5" customHeight="1" x14ac:dyDescent="0.3">
      <c r="E733" s="12"/>
      <c r="F733" s="12"/>
      <c r="G733" s="13"/>
      <c r="H733" s="12"/>
    </row>
    <row r="734" spans="5:8" ht="13.5" customHeight="1" x14ac:dyDescent="0.3">
      <c r="E734" s="12"/>
      <c r="F734" s="12"/>
      <c r="G734" s="13"/>
      <c r="H734" s="12"/>
    </row>
    <row r="735" spans="5:8" ht="13.5" customHeight="1" x14ac:dyDescent="0.3">
      <c r="E735" s="12"/>
      <c r="F735" s="12"/>
      <c r="G735" s="13"/>
      <c r="H735" s="12"/>
    </row>
    <row r="736" spans="5:8" ht="13.5" customHeight="1" x14ac:dyDescent="0.3">
      <c r="E736" s="12"/>
      <c r="F736" s="12"/>
      <c r="G736" s="13"/>
      <c r="H736" s="12"/>
    </row>
    <row r="737" spans="5:8" ht="13.5" customHeight="1" x14ac:dyDescent="0.3">
      <c r="E737" s="12"/>
      <c r="F737" s="12"/>
      <c r="G737" s="13"/>
      <c r="H737" s="12"/>
    </row>
    <row r="738" spans="5:8" ht="13.5" customHeight="1" x14ac:dyDescent="0.3">
      <c r="E738" s="12"/>
      <c r="F738" s="12"/>
      <c r="G738" s="13"/>
      <c r="H738" s="12"/>
    </row>
    <row r="739" spans="5:8" ht="13.5" customHeight="1" x14ac:dyDescent="0.3">
      <c r="E739" s="12"/>
      <c r="F739" s="12"/>
      <c r="G739" s="13"/>
      <c r="H739" s="12"/>
    </row>
    <row r="740" spans="5:8" ht="13.5" customHeight="1" x14ac:dyDescent="0.3">
      <c r="E740" s="12"/>
      <c r="F740" s="12"/>
      <c r="G740" s="13"/>
      <c r="H740" s="12"/>
    </row>
    <row r="741" spans="5:8" ht="13.5" customHeight="1" x14ac:dyDescent="0.3">
      <c r="E741" s="12"/>
      <c r="F741" s="12"/>
      <c r="G741" s="13"/>
      <c r="H741" s="12"/>
    </row>
    <row r="742" spans="5:8" ht="13.5" customHeight="1" x14ac:dyDescent="0.3">
      <c r="E742" s="12"/>
      <c r="F742" s="12"/>
      <c r="G742" s="13"/>
      <c r="H742" s="12"/>
    </row>
    <row r="743" spans="5:8" ht="13.5" customHeight="1" x14ac:dyDescent="0.3">
      <c r="E743" s="12"/>
      <c r="F743" s="12"/>
      <c r="G743" s="13"/>
      <c r="H743" s="12"/>
    </row>
    <row r="744" spans="5:8" ht="13.5" customHeight="1" x14ac:dyDescent="0.3">
      <c r="E744" s="12"/>
      <c r="F744" s="12"/>
      <c r="G744" s="13"/>
      <c r="H744" s="12"/>
    </row>
    <row r="745" spans="5:8" ht="13.5" customHeight="1" x14ac:dyDescent="0.3">
      <c r="E745" s="12"/>
      <c r="F745" s="12"/>
      <c r="G745" s="13"/>
      <c r="H745" s="12"/>
    </row>
    <row r="746" spans="5:8" ht="13.5" customHeight="1" x14ac:dyDescent="0.3">
      <c r="E746" s="12"/>
      <c r="F746" s="12"/>
      <c r="G746" s="13"/>
      <c r="H746" s="12"/>
    </row>
    <row r="747" spans="5:8" ht="13.5" customHeight="1" x14ac:dyDescent="0.3">
      <c r="E747" s="12"/>
      <c r="F747" s="12"/>
      <c r="G747" s="13"/>
      <c r="H747" s="12"/>
    </row>
    <row r="748" spans="5:8" ht="13.5" customHeight="1" x14ac:dyDescent="0.3">
      <c r="E748" s="12"/>
      <c r="F748" s="12"/>
      <c r="G748" s="13"/>
      <c r="H748" s="12"/>
    </row>
    <row r="749" spans="5:8" ht="13.5" customHeight="1" x14ac:dyDescent="0.3">
      <c r="E749" s="12"/>
      <c r="F749" s="12"/>
      <c r="G749" s="13"/>
      <c r="H749" s="12"/>
    </row>
    <row r="750" spans="5:8" ht="13.5" customHeight="1" x14ac:dyDescent="0.3">
      <c r="E750" s="12"/>
      <c r="F750" s="12"/>
      <c r="G750" s="13"/>
      <c r="H750" s="12"/>
    </row>
    <row r="751" spans="5:8" ht="13.5" customHeight="1" x14ac:dyDescent="0.3">
      <c r="E751" s="12"/>
      <c r="F751" s="12"/>
      <c r="G751" s="13"/>
      <c r="H751" s="12"/>
    </row>
    <row r="752" spans="5:8" ht="13.5" customHeight="1" x14ac:dyDescent="0.3">
      <c r="E752" s="12"/>
      <c r="F752" s="12"/>
      <c r="G752" s="13"/>
      <c r="H752" s="12"/>
    </row>
    <row r="753" spans="5:8" ht="13.5" customHeight="1" x14ac:dyDescent="0.3">
      <c r="E753" s="12"/>
      <c r="F753" s="12"/>
      <c r="G753" s="13"/>
      <c r="H753" s="12"/>
    </row>
    <row r="754" spans="5:8" ht="13.5" customHeight="1" x14ac:dyDescent="0.3">
      <c r="E754" s="12"/>
      <c r="F754" s="12"/>
      <c r="G754" s="13"/>
      <c r="H754" s="12"/>
    </row>
    <row r="755" spans="5:8" ht="13.5" customHeight="1" x14ac:dyDescent="0.3">
      <c r="E755" s="12"/>
      <c r="F755" s="12"/>
      <c r="G755" s="13"/>
      <c r="H755" s="12"/>
    </row>
    <row r="756" spans="5:8" ht="13.5" customHeight="1" x14ac:dyDescent="0.3">
      <c r="E756" s="12"/>
      <c r="F756" s="12"/>
      <c r="G756" s="13"/>
      <c r="H756" s="12"/>
    </row>
    <row r="757" spans="5:8" ht="13.5" customHeight="1" x14ac:dyDescent="0.3">
      <c r="E757" s="12"/>
      <c r="F757" s="12"/>
      <c r="G757" s="13"/>
      <c r="H757" s="12"/>
    </row>
    <row r="758" spans="5:8" ht="13.5" customHeight="1" x14ac:dyDescent="0.3">
      <c r="E758" s="12"/>
      <c r="F758" s="12"/>
      <c r="G758" s="13"/>
      <c r="H758" s="12"/>
    </row>
    <row r="759" spans="5:8" ht="13.5" customHeight="1" x14ac:dyDescent="0.3">
      <c r="E759" s="12"/>
      <c r="F759" s="12"/>
      <c r="G759" s="13"/>
      <c r="H759" s="12"/>
    </row>
    <row r="760" spans="5:8" ht="13.5" customHeight="1" x14ac:dyDescent="0.3">
      <c r="E760" s="12"/>
      <c r="F760" s="12"/>
      <c r="G760" s="13"/>
      <c r="H760" s="12"/>
    </row>
    <row r="761" spans="5:8" ht="13.5" customHeight="1" x14ac:dyDescent="0.3">
      <c r="E761" s="12"/>
      <c r="F761" s="12"/>
      <c r="G761" s="13"/>
      <c r="H761" s="12"/>
    </row>
    <row r="762" spans="5:8" ht="13.5" customHeight="1" x14ac:dyDescent="0.3">
      <c r="E762" s="12"/>
      <c r="F762" s="12"/>
      <c r="G762" s="13"/>
      <c r="H762" s="12"/>
    </row>
    <row r="763" spans="5:8" ht="13.5" customHeight="1" x14ac:dyDescent="0.3">
      <c r="E763" s="12"/>
      <c r="F763" s="12"/>
      <c r="G763" s="13"/>
      <c r="H763" s="12"/>
    </row>
    <row r="764" spans="5:8" ht="13.5" customHeight="1" x14ac:dyDescent="0.3">
      <c r="E764" s="12"/>
      <c r="F764" s="12"/>
      <c r="G764" s="13"/>
      <c r="H764" s="12"/>
    </row>
    <row r="765" spans="5:8" ht="13.5" customHeight="1" x14ac:dyDescent="0.3">
      <c r="E765" s="12"/>
      <c r="F765" s="12"/>
      <c r="G765" s="13"/>
      <c r="H765" s="12"/>
    </row>
    <row r="766" spans="5:8" ht="13.5" customHeight="1" x14ac:dyDescent="0.3">
      <c r="E766" s="12"/>
      <c r="F766" s="12"/>
      <c r="G766" s="13"/>
      <c r="H766" s="12"/>
    </row>
    <row r="767" spans="5:8" ht="13.5" customHeight="1" x14ac:dyDescent="0.3">
      <c r="E767" s="12"/>
      <c r="F767" s="12"/>
      <c r="G767" s="13"/>
      <c r="H767" s="12"/>
    </row>
    <row r="768" spans="5:8" ht="13.5" customHeight="1" x14ac:dyDescent="0.3">
      <c r="E768" s="12"/>
      <c r="F768" s="12"/>
      <c r="G768" s="13"/>
      <c r="H768" s="12"/>
    </row>
    <row r="769" spans="5:8" ht="13.5" customHeight="1" x14ac:dyDescent="0.3">
      <c r="E769" s="12"/>
      <c r="F769" s="12"/>
      <c r="G769" s="13"/>
      <c r="H769" s="12"/>
    </row>
    <row r="770" spans="5:8" ht="13.5" customHeight="1" x14ac:dyDescent="0.3">
      <c r="E770" s="12"/>
      <c r="F770" s="12"/>
      <c r="G770" s="13"/>
      <c r="H770" s="12"/>
    </row>
    <row r="771" spans="5:8" ht="13.5" customHeight="1" x14ac:dyDescent="0.3">
      <c r="E771" s="12"/>
      <c r="F771" s="12"/>
      <c r="G771" s="13"/>
      <c r="H771" s="12"/>
    </row>
    <row r="772" spans="5:8" ht="13.5" customHeight="1" x14ac:dyDescent="0.3">
      <c r="E772" s="12"/>
      <c r="F772" s="12"/>
      <c r="G772" s="13"/>
      <c r="H772" s="12"/>
    </row>
    <row r="773" spans="5:8" ht="13.5" customHeight="1" x14ac:dyDescent="0.3">
      <c r="E773" s="12"/>
      <c r="F773" s="12"/>
      <c r="G773" s="13"/>
      <c r="H773" s="12"/>
    </row>
    <row r="774" spans="5:8" ht="13.5" customHeight="1" x14ac:dyDescent="0.3">
      <c r="E774" s="12"/>
      <c r="F774" s="12"/>
      <c r="G774" s="13"/>
      <c r="H774" s="12"/>
    </row>
    <row r="775" spans="5:8" ht="13.5" customHeight="1" x14ac:dyDescent="0.3">
      <c r="E775" s="12"/>
      <c r="F775" s="12"/>
      <c r="G775" s="13"/>
      <c r="H775" s="12"/>
    </row>
    <row r="776" spans="5:8" ht="13.5" customHeight="1" x14ac:dyDescent="0.3">
      <c r="E776" s="12"/>
      <c r="F776" s="12"/>
      <c r="G776" s="13"/>
      <c r="H776" s="12"/>
    </row>
    <row r="777" spans="5:8" ht="13.5" customHeight="1" x14ac:dyDescent="0.3">
      <c r="E777" s="12"/>
      <c r="F777" s="12"/>
      <c r="G777" s="13"/>
      <c r="H777" s="12"/>
    </row>
    <row r="778" spans="5:8" ht="13.5" customHeight="1" x14ac:dyDescent="0.3">
      <c r="E778" s="12"/>
      <c r="F778" s="12"/>
      <c r="G778" s="13"/>
      <c r="H778" s="12"/>
    </row>
    <row r="779" spans="5:8" ht="13.5" customHeight="1" x14ac:dyDescent="0.3">
      <c r="E779" s="12"/>
      <c r="F779" s="12"/>
      <c r="G779" s="13"/>
      <c r="H779" s="12"/>
    </row>
    <row r="780" spans="5:8" ht="13.5" customHeight="1" x14ac:dyDescent="0.3">
      <c r="E780" s="12"/>
      <c r="F780" s="12"/>
      <c r="G780" s="13"/>
      <c r="H780" s="12"/>
    </row>
    <row r="781" spans="5:8" ht="13.5" customHeight="1" x14ac:dyDescent="0.3">
      <c r="E781" s="12"/>
      <c r="F781" s="12"/>
      <c r="G781" s="13"/>
      <c r="H781" s="12"/>
    </row>
    <row r="782" spans="5:8" ht="13.5" customHeight="1" x14ac:dyDescent="0.3">
      <c r="E782" s="12"/>
      <c r="F782" s="12"/>
      <c r="G782" s="13"/>
      <c r="H782" s="12"/>
    </row>
    <row r="783" spans="5:8" ht="13.5" customHeight="1" x14ac:dyDescent="0.3">
      <c r="E783" s="12"/>
      <c r="F783" s="12"/>
      <c r="G783" s="13"/>
      <c r="H783" s="12"/>
    </row>
    <row r="784" spans="5:8" ht="13.5" customHeight="1" x14ac:dyDescent="0.3">
      <c r="E784" s="12"/>
      <c r="F784" s="12"/>
      <c r="G784" s="13"/>
      <c r="H784" s="12"/>
    </row>
    <row r="785" spans="5:8" ht="13.5" customHeight="1" x14ac:dyDescent="0.3">
      <c r="E785" s="12"/>
      <c r="F785" s="12"/>
      <c r="G785" s="13"/>
      <c r="H785" s="12"/>
    </row>
    <row r="786" spans="5:8" ht="13.5" customHeight="1" x14ac:dyDescent="0.3">
      <c r="E786" s="12"/>
      <c r="F786" s="12"/>
      <c r="G786" s="13"/>
      <c r="H786" s="12"/>
    </row>
    <row r="787" spans="5:8" ht="13.5" customHeight="1" x14ac:dyDescent="0.3">
      <c r="E787" s="12"/>
      <c r="F787" s="12"/>
      <c r="G787" s="13"/>
      <c r="H787" s="12"/>
    </row>
    <row r="788" spans="5:8" ht="13.5" customHeight="1" x14ac:dyDescent="0.3">
      <c r="E788" s="12"/>
      <c r="F788" s="12"/>
      <c r="G788" s="13"/>
      <c r="H788" s="12"/>
    </row>
    <row r="789" spans="5:8" ht="13.5" customHeight="1" x14ac:dyDescent="0.3">
      <c r="E789" s="12"/>
      <c r="F789" s="12"/>
      <c r="G789" s="13"/>
      <c r="H789" s="12"/>
    </row>
    <row r="790" spans="5:8" ht="13.5" customHeight="1" x14ac:dyDescent="0.3">
      <c r="E790" s="12"/>
      <c r="F790" s="12"/>
      <c r="G790" s="13"/>
      <c r="H790" s="12"/>
    </row>
    <row r="791" spans="5:8" ht="13.5" customHeight="1" x14ac:dyDescent="0.3">
      <c r="E791" s="12"/>
      <c r="F791" s="12"/>
      <c r="G791" s="13"/>
      <c r="H791" s="12"/>
    </row>
    <row r="792" spans="5:8" ht="13.5" customHeight="1" x14ac:dyDescent="0.3">
      <c r="E792" s="12"/>
      <c r="F792" s="12"/>
      <c r="G792" s="13"/>
      <c r="H792" s="12"/>
    </row>
    <row r="793" spans="5:8" ht="13.5" customHeight="1" x14ac:dyDescent="0.3">
      <c r="E793" s="12"/>
      <c r="F793" s="12"/>
      <c r="G793" s="13"/>
      <c r="H793" s="12"/>
    </row>
    <row r="794" spans="5:8" ht="13.5" customHeight="1" x14ac:dyDescent="0.3">
      <c r="E794" s="12"/>
      <c r="F794" s="12"/>
      <c r="G794" s="13"/>
      <c r="H794" s="12"/>
    </row>
    <row r="795" spans="5:8" ht="13.5" customHeight="1" x14ac:dyDescent="0.3">
      <c r="E795" s="12"/>
      <c r="F795" s="12"/>
      <c r="G795" s="13"/>
      <c r="H795" s="12"/>
    </row>
    <row r="796" spans="5:8" ht="13.5" customHeight="1" x14ac:dyDescent="0.3">
      <c r="E796" s="12"/>
      <c r="F796" s="12"/>
      <c r="G796" s="13"/>
      <c r="H796" s="12"/>
    </row>
    <row r="797" spans="5:8" ht="13.5" customHeight="1" x14ac:dyDescent="0.3">
      <c r="E797" s="12"/>
      <c r="F797" s="12"/>
      <c r="G797" s="13"/>
      <c r="H797" s="12"/>
    </row>
    <row r="798" spans="5:8" ht="13.5" customHeight="1" x14ac:dyDescent="0.3">
      <c r="E798" s="12"/>
      <c r="F798" s="12"/>
      <c r="G798" s="13"/>
      <c r="H798" s="12"/>
    </row>
    <row r="799" spans="5:8" ht="13.5" customHeight="1" x14ac:dyDescent="0.3">
      <c r="E799" s="12"/>
      <c r="F799" s="12"/>
      <c r="G799" s="13"/>
      <c r="H799" s="12"/>
    </row>
    <row r="800" spans="5:8" ht="13.5" customHeight="1" x14ac:dyDescent="0.3">
      <c r="E800" s="12"/>
      <c r="F800" s="12"/>
      <c r="G800" s="13"/>
      <c r="H800" s="12"/>
    </row>
    <row r="801" spans="5:8" ht="13.5" customHeight="1" x14ac:dyDescent="0.3">
      <c r="E801" s="12"/>
      <c r="F801" s="12"/>
      <c r="G801" s="13"/>
      <c r="H801" s="12"/>
    </row>
    <row r="802" spans="5:8" ht="13.5" customHeight="1" x14ac:dyDescent="0.3">
      <c r="E802" s="12"/>
      <c r="F802" s="12"/>
      <c r="G802" s="13"/>
      <c r="H802" s="12"/>
    </row>
    <row r="803" spans="5:8" ht="13.5" customHeight="1" x14ac:dyDescent="0.3">
      <c r="E803" s="12"/>
      <c r="F803" s="12"/>
      <c r="G803" s="13"/>
      <c r="H803" s="12"/>
    </row>
    <row r="804" spans="5:8" ht="13.5" customHeight="1" x14ac:dyDescent="0.3">
      <c r="E804" s="12"/>
      <c r="F804" s="12"/>
      <c r="G804" s="13"/>
      <c r="H804" s="12"/>
    </row>
    <row r="805" spans="5:8" ht="13.5" customHeight="1" x14ac:dyDescent="0.3">
      <c r="E805" s="12"/>
      <c r="F805" s="12"/>
      <c r="G805" s="13"/>
      <c r="H805" s="12"/>
    </row>
    <row r="806" spans="5:8" ht="13.5" customHeight="1" x14ac:dyDescent="0.3">
      <c r="E806" s="12"/>
      <c r="F806" s="12"/>
      <c r="G806" s="13"/>
      <c r="H806" s="12"/>
    </row>
    <row r="807" spans="5:8" ht="13.5" customHeight="1" x14ac:dyDescent="0.3">
      <c r="E807" s="12"/>
      <c r="F807" s="12"/>
      <c r="G807" s="13"/>
      <c r="H807" s="12"/>
    </row>
    <row r="808" spans="5:8" ht="13.5" customHeight="1" x14ac:dyDescent="0.3">
      <c r="E808" s="12"/>
      <c r="F808" s="12"/>
      <c r="G808" s="13"/>
      <c r="H808" s="12"/>
    </row>
    <row r="809" spans="5:8" ht="13.5" customHeight="1" x14ac:dyDescent="0.3">
      <c r="E809" s="12"/>
      <c r="F809" s="12"/>
      <c r="G809" s="13"/>
      <c r="H809" s="12"/>
    </row>
    <row r="810" spans="5:8" ht="13.5" customHeight="1" x14ac:dyDescent="0.3">
      <c r="E810" s="12"/>
      <c r="F810" s="12"/>
      <c r="G810" s="13"/>
      <c r="H810" s="12"/>
    </row>
    <row r="811" spans="5:8" ht="13.5" customHeight="1" x14ac:dyDescent="0.3">
      <c r="E811" s="12"/>
      <c r="F811" s="12"/>
      <c r="G811" s="13"/>
      <c r="H811" s="12"/>
    </row>
    <row r="812" spans="5:8" ht="13.5" customHeight="1" x14ac:dyDescent="0.3">
      <c r="E812" s="12"/>
      <c r="F812" s="12"/>
      <c r="G812" s="13"/>
      <c r="H812" s="12"/>
    </row>
    <row r="813" spans="5:8" ht="13.5" customHeight="1" x14ac:dyDescent="0.3">
      <c r="E813" s="12"/>
      <c r="F813" s="12"/>
      <c r="G813" s="13"/>
      <c r="H813" s="12"/>
    </row>
    <row r="814" spans="5:8" ht="13.5" customHeight="1" x14ac:dyDescent="0.3">
      <c r="E814" s="12"/>
      <c r="F814" s="12"/>
      <c r="G814" s="13"/>
      <c r="H814" s="12"/>
    </row>
    <row r="815" spans="5:8" ht="13.5" customHeight="1" x14ac:dyDescent="0.3">
      <c r="E815" s="12"/>
      <c r="F815" s="12"/>
      <c r="G815" s="13"/>
      <c r="H815" s="12"/>
    </row>
    <row r="816" spans="5:8" ht="13.5" customHeight="1" x14ac:dyDescent="0.3">
      <c r="E816" s="12"/>
      <c r="F816" s="12"/>
      <c r="G816" s="13"/>
      <c r="H816" s="12"/>
    </row>
    <row r="817" spans="5:8" ht="13.5" customHeight="1" x14ac:dyDescent="0.3">
      <c r="E817" s="12"/>
      <c r="F817" s="12"/>
      <c r="G817" s="13"/>
      <c r="H817" s="12"/>
    </row>
    <row r="818" spans="5:8" ht="13.5" customHeight="1" x14ac:dyDescent="0.3">
      <c r="E818" s="12"/>
      <c r="F818" s="12"/>
      <c r="G818" s="13"/>
      <c r="H818" s="12"/>
    </row>
    <row r="819" spans="5:8" ht="13.5" customHeight="1" x14ac:dyDescent="0.3">
      <c r="E819" s="12"/>
      <c r="F819" s="12"/>
      <c r="G819" s="13"/>
      <c r="H819" s="12"/>
    </row>
    <row r="820" spans="5:8" ht="13.5" customHeight="1" x14ac:dyDescent="0.3">
      <c r="E820" s="12"/>
      <c r="F820" s="12"/>
      <c r="G820" s="13"/>
      <c r="H820" s="12"/>
    </row>
    <row r="821" spans="5:8" ht="13.5" customHeight="1" x14ac:dyDescent="0.3">
      <c r="E821" s="12"/>
      <c r="F821" s="12"/>
      <c r="G821" s="13"/>
      <c r="H821" s="12"/>
    </row>
    <row r="822" spans="5:8" ht="13.5" customHeight="1" x14ac:dyDescent="0.3">
      <c r="E822" s="12"/>
      <c r="F822" s="12"/>
      <c r="G822" s="13"/>
      <c r="H822" s="12"/>
    </row>
    <row r="823" spans="5:8" ht="13.5" customHeight="1" x14ac:dyDescent="0.3">
      <c r="E823" s="12"/>
      <c r="F823" s="12"/>
      <c r="G823" s="13"/>
      <c r="H823" s="12"/>
    </row>
    <row r="824" spans="5:8" ht="13.5" customHeight="1" x14ac:dyDescent="0.3">
      <c r="E824" s="12"/>
      <c r="F824" s="12"/>
      <c r="G824" s="13"/>
      <c r="H824" s="12"/>
    </row>
    <row r="825" spans="5:8" ht="13.5" customHeight="1" x14ac:dyDescent="0.3">
      <c r="E825" s="12"/>
      <c r="F825" s="12"/>
      <c r="G825" s="13"/>
      <c r="H825" s="12"/>
    </row>
    <row r="826" spans="5:8" ht="13.5" customHeight="1" x14ac:dyDescent="0.3">
      <c r="E826" s="12"/>
      <c r="F826" s="12"/>
      <c r="G826" s="13"/>
      <c r="H826" s="12"/>
    </row>
    <row r="827" spans="5:8" ht="13.5" customHeight="1" x14ac:dyDescent="0.3">
      <c r="E827" s="12"/>
      <c r="F827" s="12"/>
      <c r="G827" s="13"/>
      <c r="H827" s="12"/>
    </row>
    <row r="828" spans="5:8" ht="13.5" customHeight="1" x14ac:dyDescent="0.3">
      <c r="E828" s="12"/>
      <c r="F828" s="12"/>
      <c r="G828" s="13"/>
      <c r="H828" s="12"/>
    </row>
    <row r="829" spans="5:8" ht="13.5" customHeight="1" x14ac:dyDescent="0.3">
      <c r="E829" s="12"/>
      <c r="F829" s="12"/>
      <c r="G829" s="13"/>
      <c r="H829" s="12"/>
    </row>
    <row r="830" spans="5:8" ht="13.5" customHeight="1" x14ac:dyDescent="0.3">
      <c r="E830" s="12"/>
      <c r="F830" s="12"/>
      <c r="G830" s="13"/>
      <c r="H830" s="12"/>
    </row>
    <row r="831" spans="5:8" ht="13.5" customHeight="1" x14ac:dyDescent="0.3">
      <c r="E831" s="12"/>
      <c r="F831" s="12"/>
      <c r="G831" s="13"/>
      <c r="H831" s="12"/>
    </row>
    <row r="832" spans="5:8" ht="13.5" customHeight="1" x14ac:dyDescent="0.3">
      <c r="E832" s="12"/>
      <c r="F832" s="12"/>
      <c r="G832" s="13"/>
      <c r="H832" s="12"/>
    </row>
    <row r="833" spans="5:8" ht="13.5" customHeight="1" x14ac:dyDescent="0.3">
      <c r="E833" s="12"/>
      <c r="F833" s="12"/>
      <c r="G833" s="13"/>
      <c r="H833" s="12"/>
    </row>
    <row r="834" spans="5:8" ht="13.5" customHeight="1" x14ac:dyDescent="0.3">
      <c r="E834" s="12"/>
      <c r="F834" s="12"/>
      <c r="G834" s="13"/>
      <c r="H834" s="12"/>
    </row>
    <row r="835" spans="5:8" ht="13.5" customHeight="1" x14ac:dyDescent="0.3">
      <c r="E835" s="12"/>
      <c r="F835" s="12"/>
      <c r="G835" s="13"/>
      <c r="H835" s="12"/>
    </row>
    <row r="836" spans="5:8" ht="13.5" customHeight="1" x14ac:dyDescent="0.3">
      <c r="E836" s="12"/>
      <c r="F836" s="12"/>
      <c r="G836" s="13"/>
      <c r="H836" s="12"/>
    </row>
    <row r="837" spans="5:8" ht="13.5" customHeight="1" x14ac:dyDescent="0.3">
      <c r="E837" s="12"/>
      <c r="F837" s="12"/>
      <c r="G837" s="13"/>
      <c r="H837" s="12"/>
    </row>
    <row r="838" spans="5:8" ht="13.5" customHeight="1" x14ac:dyDescent="0.3">
      <c r="E838" s="12"/>
      <c r="F838" s="12"/>
      <c r="G838" s="13"/>
      <c r="H838" s="12"/>
    </row>
    <row r="839" spans="5:8" ht="13.5" customHeight="1" x14ac:dyDescent="0.3">
      <c r="E839" s="12"/>
      <c r="F839" s="12"/>
      <c r="G839" s="13"/>
      <c r="H839" s="12"/>
    </row>
    <row r="840" spans="5:8" ht="13.5" customHeight="1" x14ac:dyDescent="0.3">
      <c r="E840" s="12"/>
      <c r="F840" s="12"/>
      <c r="G840" s="13"/>
      <c r="H840" s="12"/>
    </row>
    <row r="841" spans="5:8" ht="13.5" customHeight="1" x14ac:dyDescent="0.3">
      <c r="E841" s="12"/>
      <c r="F841" s="12"/>
      <c r="G841" s="13"/>
      <c r="H841" s="12"/>
    </row>
    <row r="842" spans="5:8" ht="13.5" customHeight="1" x14ac:dyDescent="0.3">
      <c r="E842" s="12"/>
      <c r="F842" s="12"/>
      <c r="G842" s="13"/>
      <c r="H842" s="12"/>
    </row>
    <row r="843" spans="5:8" ht="13.5" customHeight="1" x14ac:dyDescent="0.3">
      <c r="E843" s="12"/>
      <c r="F843" s="12"/>
      <c r="G843" s="13"/>
      <c r="H843" s="12"/>
    </row>
    <row r="844" spans="5:8" ht="13.5" customHeight="1" x14ac:dyDescent="0.3">
      <c r="E844" s="12"/>
      <c r="F844" s="12"/>
      <c r="G844" s="13"/>
      <c r="H844" s="12"/>
    </row>
    <row r="845" spans="5:8" ht="13.5" customHeight="1" x14ac:dyDescent="0.3">
      <c r="E845" s="12"/>
      <c r="F845" s="12"/>
      <c r="G845" s="13"/>
      <c r="H845" s="12"/>
    </row>
    <row r="846" spans="5:8" ht="13.5" customHeight="1" x14ac:dyDescent="0.3">
      <c r="E846" s="12"/>
      <c r="F846" s="12"/>
      <c r="G846" s="13"/>
      <c r="H846" s="12"/>
    </row>
    <row r="847" spans="5:8" ht="13.5" customHeight="1" x14ac:dyDescent="0.3">
      <c r="E847" s="12"/>
      <c r="F847" s="12"/>
      <c r="G847" s="13"/>
      <c r="H847" s="12"/>
    </row>
    <row r="848" spans="5:8" ht="13.5" customHeight="1" x14ac:dyDescent="0.3">
      <c r="E848" s="12"/>
      <c r="F848" s="12"/>
      <c r="G848" s="13"/>
      <c r="H848" s="12"/>
    </row>
    <row r="849" spans="5:8" ht="13.5" customHeight="1" x14ac:dyDescent="0.3">
      <c r="E849" s="12"/>
      <c r="F849" s="12"/>
      <c r="G849" s="13"/>
      <c r="H849" s="12"/>
    </row>
    <row r="850" spans="5:8" ht="13.5" customHeight="1" x14ac:dyDescent="0.3">
      <c r="E850" s="12"/>
      <c r="F850" s="12"/>
      <c r="G850" s="13"/>
      <c r="H850" s="12"/>
    </row>
    <row r="851" spans="5:8" ht="13.5" customHeight="1" x14ac:dyDescent="0.3">
      <c r="E851" s="12"/>
      <c r="F851" s="12"/>
      <c r="G851" s="13"/>
      <c r="H851" s="12"/>
    </row>
    <row r="852" spans="5:8" ht="13.5" customHeight="1" x14ac:dyDescent="0.3">
      <c r="E852" s="12"/>
      <c r="F852" s="12"/>
      <c r="G852" s="13"/>
      <c r="H852" s="12"/>
    </row>
    <row r="853" spans="5:8" ht="13.5" customHeight="1" x14ac:dyDescent="0.3">
      <c r="E853" s="12"/>
      <c r="F853" s="12"/>
      <c r="G853" s="13"/>
      <c r="H853" s="12"/>
    </row>
    <row r="854" spans="5:8" ht="13.5" customHeight="1" x14ac:dyDescent="0.3">
      <c r="E854" s="12"/>
      <c r="F854" s="12"/>
      <c r="G854" s="13"/>
      <c r="H854" s="12"/>
    </row>
    <row r="855" spans="5:8" ht="13.5" customHeight="1" x14ac:dyDescent="0.3">
      <c r="E855" s="12"/>
      <c r="F855" s="12"/>
      <c r="G855" s="13"/>
      <c r="H855" s="12"/>
    </row>
    <row r="856" spans="5:8" ht="13.5" customHeight="1" x14ac:dyDescent="0.3">
      <c r="E856" s="12"/>
      <c r="F856" s="12"/>
      <c r="G856" s="13"/>
      <c r="H856" s="12"/>
    </row>
    <row r="857" spans="5:8" ht="13.5" customHeight="1" x14ac:dyDescent="0.3">
      <c r="E857" s="12"/>
      <c r="F857" s="12"/>
      <c r="G857" s="13"/>
      <c r="H857" s="12"/>
    </row>
    <row r="858" spans="5:8" ht="13.5" customHeight="1" x14ac:dyDescent="0.3">
      <c r="E858" s="12"/>
      <c r="F858" s="12"/>
      <c r="G858" s="13"/>
      <c r="H858" s="12"/>
    </row>
    <row r="859" spans="5:8" ht="13.5" customHeight="1" x14ac:dyDescent="0.3">
      <c r="E859" s="12"/>
      <c r="F859" s="12"/>
      <c r="G859" s="13"/>
      <c r="H859" s="12"/>
    </row>
    <row r="860" spans="5:8" ht="13.5" customHeight="1" x14ac:dyDescent="0.3">
      <c r="E860" s="12"/>
      <c r="F860" s="12"/>
      <c r="G860" s="13"/>
      <c r="H860" s="12"/>
    </row>
    <row r="861" spans="5:8" ht="13.5" customHeight="1" x14ac:dyDescent="0.3">
      <c r="E861" s="12"/>
      <c r="F861" s="12"/>
      <c r="G861" s="13"/>
      <c r="H861" s="12"/>
    </row>
    <row r="862" spans="5:8" ht="13.5" customHeight="1" x14ac:dyDescent="0.3">
      <c r="E862" s="12"/>
      <c r="F862" s="12"/>
      <c r="G862" s="13"/>
      <c r="H862" s="12"/>
    </row>
    <row r="863" spans="5:8" ht="13.5" customHeight="1" x14ac:dyDescent="0.3">
      <c r="E863" s="12"/>
      <c r="F863" s="12"/>
      <c r="G863" s="13"/>
      <c r="H863" s="12"/>
    </row>
    <row r="864" spans="5:8" ht="13.5" customHeight="1" x14ac:dyDescent="0.3">
      <c r="E864" s="12"/>
      <c r="F864" s="12"/>
      <c r="G864" s="13"/>
      <c r="H864" s="12"/>
    </row>
    <row r="865" spans="5:8" ht="13.5" customHeight="1" x14ac:dyDescent="0.3">
      <c r="E865" s="12"/>
      <c r="F865" s="12"/>
      <c r="G865" s="13"/>
      <c r="H865" s="12"/>
    </row>
    <row r="866" spans="5:8" ht="13.5" customHeight="1" x14ac:dyDescent="0.3">
      <c r="E866" s="12"/>
      <c r="F866" s="12"/>
      <c r="G866" s="13"/>
      <c r="H866" s="12"/>
    </row>
    <row r="867" spans="5:8" ht="13.5" customHeight="1" x14ac:dyDescent="0.3">
      <c r="E867" s="12"/>
      <c r="F867" s="12"/>
      <c r="G867" s="13"/>
      <c r="H867" s="12"/>
    </row>
    <row r="868" spans="5:8" ht="13.5" customHeight="1" x14ac:dyDescent="0.3">
      <c r="E868" s="12"/>
      <c r="F868" s="12"/>
      <c r="G868" s="13"/>
      <c r="H868" s="12"/>
    </row>
    <row r="869" spans="5:8" ht="13.5" customHeight="1" x14ac:dyDescent="0.3">
      <c r="E869" s="12"/>
      <c r="F869" s="12"/>
      <c r="G869" s="13"/>
      <c r="H869" s="12"/>
    </row>
    <row r="870" spans="5:8" ht="13.5" customHeight="1" x14ac:dyDescent="0.3">
      <c r="E870" s="12"/>
      <c r="F870" s="12"/>
      <c r="G870" s="13"/>
      <c r="H870" s="12"/>
    </row>
    <row r="871" spans="5:8" ht="13.5" customHeight="1" x14ac:dyDescent="0.3">
      <c r="E871" s="12"/>
      <c r="F871" s="12"/>
      <c r="G871" s="13"/>
      <c r="H871" s="12"/>
    </row>
    <row r="872" spans="5:8" ht="13.5" customHeight="1" x14ac:dyDescent="0.3">
      <c r="E872" s="12"/>
      <c r="F872" s="12"/>
      <c r="G872" s="13"/>
      <c r="H872" s="12"/>
    </row>
    <row r="873" spans="5:8" ht="13.5" customHeight="1" x14ac:dyDescent="0.3">
      <c r="E873" s="12"/>
      <c r="F873" s="12"/>
      <c r="G873" s="13"/>
      <c r="H873" s="12"/>
    </row>
    <row r="874" spans="5:8" ht="13.5" customHeight="1" x14ac:dyDescent="0.3">
      <c r="E874" s="12"/>
      <c r="F874" s="12"/>
      <c r="G874" s="13"/>
      <c r="H874" s="12"/>
    </row>
    <row r="875" spans="5:8" ht="13.5" customHeight="1" x14ac:dyDescent="0.3">
      <c r="E875" s="12"/>
      <c r="F875" s="12"/>
      <c r="G875" s="13"/>
      <c r="H875" s="12"/>
    </row>
    <row r="876" spans="5:8" ht="13.5" customHeight="1" x14ac:dyDescent="0.3">
      <c r="E876" s="12"/>
      <c r="F876" s="12"/>
      <c r="G876" s="13"/>
      <c r="H876" s="12"/>
    </row>
    <row r="877" spans="5:8" ht="13.5" customHeight="1" x14ac:dyDescent="0.3">
      <c r="E877" s="12"/>
      <c r="F877" s="12"/>
      <c r="G877" s="13"/>
      <c r="H877" s="12"/>
    </row>
    <row r="878" spans="5:8" ht="13.5" customHeight="1" x14ac:dyDescent="0.3">
      <c r="E878" s="12"/>
      <c r="F878" s="12"/>
      <c r="G878" s="13"/>
      <c r="H878" s="12"/>
    </row>
    <row r="879" spans="5:8" ht="13.5" customHeight="1" x14ac:dyDescent="0.3">
      <c r="E879" s="12"/>
      <c r="F879" s="12"/>
      <c r="G879" s="13"/>
      <c r="H879" s="12"/>
    </row>
    <row r="880" spans="5:8" ht="13.5" customHeight="1" x14ac:dyDescent="0.3">
      <c r="E880" s="12"/>
      <c r="F880" s="12"/>
      <c r="G880" s="13"/>
      <c r="H880" s="12"/>
    </row>
    <row r="881" spans="5:8" ht="13.5" customHeight="1" x14ac:dyDescent="0.3">
      <c r="E881" s="12"/>
      <c r="F881" s="12"/>
      <c r="G881" s="13"/>
      <c r="H881" s="12"/>
    </row>
    <row r="882" spans="5:8" ht="13.5" customHeight="1" x14ac:dyDescent="0.3">
      <c r="E882" s="12"/>
      <c r="F882" s="12"/>
      <c r="G882" s="13"/>
      <c r="H882" s="12"/>
    </row>
    <row r="883" spans="5:8" ht="13.5" customHeight="1" x14ac:dyDescent="0.3">
      <c r="E883" s="12"/>
      <c r="F883" s="12"/>
      <c r="G883" s="13"/>
      <c r="H883" s="12"/>
    </row>
    <row r="884" spans="5:8" ht="13.5" customHeight="1" x14ac:dyDescent="0.3">
      <c r="E884" s="12"/>
      <c r="F884" s="12"/>
      <c r="G884" s="13"/>
      <c r="H884" s="12"/>
    </row>
    <row r="885" spans="5:8" ht="13.5" customHeight="1" x14ac:dyDescent="0.3">
      <c r="E885" s="12"/>
      <c r="F885" s="12"/>
      <c r="G885" s="13"/>
      <c r="H885" s="12"/>
    </row>
    <row r="886" spans="5:8" ht="13.5" customHeight="1" x14ac:dyDescent="0.3">
      <c r="E886" s="12"/>
      <c r="F886" s="12"/>
      <c r="G886" s="13"/>
      <c r="H886" s="12"/>
    </row>
    <row r="887" spans="5:8" ht="13.5" customHeight="1" x14ac:dyDescent="0.3">
      <c r="E887" s="12"/>
      <c r="F887" s="12"/>
      <c r="G887" s="13"/>
      <c r="H887" s="12"/>
    </row>
    <row r="888" spans="5:8" ht="13.5" customHeight="1" x14ac:dyDescent="0.3">
      <c r="E888" s="12"/>
      <c r="F888" s="12"/>
      <c r="G888" s="13"/>
      <c r="H888" s="12"/>
    </row>
    <row r="889" spans="5:8" ht="13.5" customHeight="1" x14ac:dyDescent="0.3">
      <c r="E889" s="12"/>
      <c r="F889" s="12"/>
      <c r="G889" s="13"/>
      <c r="H889" s="12"/>
    </row>
    <row r="890" spans="5:8" ht="13.5" customHeight="1" x14ac:dyDescent="0.3">
      <c r="E890" s="12"/>
      <c r="F890" s="12"/>
      <c r="G890" s="13"/>
      <c r="H890" s="12"/>
    </row>
    <row r="891" spans="5:8" ht="13.5" customHeight="1" x14ac:dyDescent="0.3">
      <c r="E891" s="12"/>
      <c r="F891" s="12"/>
      <c r="G891" s="13"/>
      <c r="H891" s="12"/>
    </row>
    <row r="892" spans="5:8" ht="13.5" customHeight="1" x14ac:dyDescent="0.3">
      <c r="E892" s="12"/>
      <c r="F892" s="12"/>
      <c r="G892" s="13"/>
      <c r="H892" s="12"/>
    </row>
    <row r="893" spans="5:8" ht="13.5" customHeight="1" x14ac:dyDescent="0.3">
      <c r="E893" s="12"/>
      <c r="F893" s="12"/>
      <c r="G893" s="13"/>
      <c r="H893" s="12"/>
    </row>
    <row r="894" spans="5:8" ht="13.5" customHeight="1" x14ac:dyDescent="0.3">
      <c r="E894" s="12"/>
      <c r="F894" s="12"/>
      <c r="G894" s="13"/>
      <c r="H894" s="12"/>
    </row>
    <row r="895" spans="5:8" ht="13.5" customHeight="1" x14ac:dyDescent="0.3">
      <c r="E895" s="12"/>
      <c r="F895" s="12"/>
      <c r="G895" s="13"/>
      <c r="H895" s="12"/>
    </row>
    <row r="896" spans="5:8" ht="13.5" customHeight="1" x14ac:dyDescent="0.3">
      <c r="E896" s="12"/>
      <c r="F896" s="12"/>
      <c r="G896" s="13"/>
      <c r="H896" s="12"/>
    </row>
    <row r="897" spans="5:8" ht="13.5" customHeight="1" x14ac:dyDescent="0.3">
      <c r="E897" s="12"/>
      <c r="F897" s="12"/>
      <c r="G897" s="13"/>
      <c r="H897" s="12"/>
    </row>
    <row r="898" spans="5:8" ht="13.5" customHeight="1" x14ac:dyDescent="0.3">
      <c r="E898" s="12"/>
      <c r="F898" s="12"/>
      <c r="G898" s="13"/>
      <c r="H898" s="12"/>
    </row>
    <row r="899" spans="5:8" ht="13.5" customHeight="1" x14ac:dyDescent="0.3">
      <c r="E899" s="12"/>
      <c r="F899" s="12"/>
      <c r="G899" s="13"/>
      <c r="H899" s="12"/>
    </row>
    <row r="900" spans="5:8" ht="13.5" customHeight="1" x14ac:dyDescent="0.3">
      <c r="E900" s="12"/>
      <c r="F900" s="12"/>
      <c r="G900" s="13"/>
      <c r="H900" s="12"/>
    </row>
    <row r="901" spans="5:8" ht="13.5" customHeight="1" x14ac:dyDescent="0.3">
      <c r="E901" s="12"/>
      <c r="F901" s="12"/>
      <c r="G901" s="13"/>
      <c r="H901" s="12"/>
    </row>
    <row r="902" spans="5:8" ht="13.5" customHeight="1" x14ac:dyDescent="0.3">
      <c r="E902" s="12"/>
      <c r="F902" s="12"/>
      <c r="G902" s="13"/>
      <c r="H902" s="12"/>
    </row>
    <row r="903" spans="5:8" ht="13.5" customHeight="1" x14ac:dyDescent="0.3">
      <c r="E903" s="12"/>
      <c r="F903" s="12"/>
      <c r="G903" s="13"/>
      <c r="H903" s="12"/>
    </row>
    <row r="904" spans="5:8" ht="13.5" customHeight="1" x14ac:dyDescent="0.3">
      <c r="E904" s="12"/>
      <c r="F904" s="12"/>
      <c r="G904" s="13"/>
      <c r="H904" s="12"/>
    </row>
    <row r="905" spans="5:8" ht="13.5" customHeight="1" x14ac:dyDescent="0.3">
      <c r="E905" s="12"/>
      <c r="F905" s="12"/>
      <c r="G905" s="13"/>
      <c r="H905" s="12"/>
    </row>
    <row r="906" spans="5:8" ht="13.5" customHeight="1" x14ac:dyDescent="0.3">
      <c r="E906" s="12"/>
      <c r="F906" s="12"/>
      <c r="G906" s="13"/>
      <c r="H906" s="12"/>
    </row>
    <row r="907" spans="5:8" ht="13.5" customHeight="1" x14ac:dyDescent="0.3">
      <c r="E907" s="12"/>
      <c r="F907" s="12"/>
      <c r="G907" s="13"/>
      <c r="H907" s="12"/>
    </row>
    <row r="908" spans="5:8" ht="13.5" customHeight="1" x14ac:dyDescent="0.3">
      <c r="E908" s="12"/>
      <c r="F908" s="12"/>
      <c r="G908" s="13"/>
      <c r="H908" s="12"/>
    </row>
    <row r="909" spans="5:8" ht="13.5" customHeight="1" x14ac:dyDescent="0.3">
      <c r="E909" s="12"/>
      <c r="F909" s="12"/>
      <c r="G909" s="13"/>
      <c r="H909" s="12"/>
    </row>
    <row r="910" spans="5:8" ht="13.5" customHeight="1" x14ac:dyDescent="0.3">
      <c r="E910" s="12"/>
      <c r="F910" s="12"/>
      <c r="G910" s="13"/>
      <c r="H910" s="12"/>
    </row>
    <row r="911" spans="5:8" ht="13.5" customHeight="1" x14ac:dyDescent="0.3">
      <c r="E911" s="12"/>
      <c r="F911" s="12"/>
      <c r="G911" s="13"/>
      <c r="H911" s="12"/>
    </row>
    <row r="912" spans="5:8" ht="13.5" customHeight="1" x14ac:dyDescent="0.3">
      <c r="E912" s="12"/>
      <c r="F912" s="12"/>
      <c r="G912" s="13"/>
      <c r="H912" s="12"/>
    </row>
    <row r="913" spans="5:8" ht="13.5" customHeight="1" x14ac:dyDescent="0.3">
      <c r="E913" s="12"/>
      <c r="F913" s="12"/>
      <c r="G913" s="13"/>
      <c r="H913" s="12"/>
    </row>
    <row r="914" spans="5:8" ht="13.5" customHeight="1" x14ac:dyDescent="0.3">
      <c r="E914" s="12"/>
      <c r="F914" s="12"/>
      <c r="G914" s="13"/>
      <c r="H914" s="12"/>
    </row>
    <row r="915" spans="5:8" ht="13.5" customHeight="1" x14ac:dyDescent="0.3">
      <c r="E915" s="12"/>
      <c r="F915" s="12"/>
      <c r="G915" s="13"/>
      <c r="H915" s="12"/>
    </row>
    <row r="916" spans="5:8" ht="13.5" customHeight="1" x14ac:dyDescent="0.3">
      <c r="E916" s="12"/>
      <c r="F916" s="12"/>
      <c r="G916" s="13"/>
      <c r="H916" s="12"/>
    </row>
    <row r="917" spans="5:8" ht="13.5" customHeight="1" x14ac:dyDescent="0.3">
      <c r="E917" s="12"/>
      <c r="F917" s="12"/>
      <c r="G917" s="13"/>
      <c r="H917" s="12"/>
    </row>
    <row r="918" spans="5:8" ht="13.5" customHeight="1" x14ac:dyDescent="0.3">
      <c r="E918" s="12"/>
      <c r="F918" s="12"/>
      <c r="G918" s="13"/>
      <c r="H918" s="12"/>
    </row>
    <row r="919" spans="5:8" ht="13.5" customHeight="1" x14ac:dyDescent="0.3">
      <c r="E919" s="12"/>
      <c r="F919" s="12"/>
      <c r="G919" s="13"/>
      <c r="H919" s="12"/>
    </row>
    <row r="920" spans="5:8" ht="13.5" customHeight="1" x14ac:dyDescent="0.3">
      <c r="E920" s="12"/>
      <c r="F920" s="12"/>
      <c r="G920" s="13"/>
      <c r="H920" s="12"/>
    </row>
    <row r="921" spans="5:8" ht="13.5" customHeight="1" x14ac:dyDescent="0.3">
      <c r="E921" s="12"/>
      <c r="F921" s="12"/>
      <c r="G921" s="13"/>
      <c r="H921" s="12"/>
    </row>
    <row r="922" spans="5:8" ht="13.5" customHeight="1" x14ac:dyDescent="0.3">
      <c r="E922" s="12"/>
      <c r="F922" s="12"/>
      <c r="G922" s="13"/>
      <c r="H922" s="12"/>
    </row>
    <row r="923" spans="5:8" ht="13.5" customHeight="1" x14ac:dyDescent="0.3">
      <c r="E923" s="12"/>
      <c r="F923" s="12"/>
      <c r="G923" s="13"/>
      <c r="H923" s="12"/>
    </row>
    <row r="924" spans="5:8" ht="13.5" customHeight="1" x14ac:dyDescent="0.3">
      <c r="E924" s="12"/>
      <c r="F924" s="12"/>
      <c r="G924" s="13"/>
      <c r="H924" s="12"/>
    </row>
    <row r="925" spans="5:8" ht="13.5" customHeight="1" x14ac:dyDescent="0.3">
      <c r="E925" s="12"/>
      <c r="F925" s="12"/>
      <c r="G925" s="13"/>
      <c r="H925" s="12"/>
    </row>
    <row r="926" spans="5:8" ht="13.5" customHeight="1" x14ac:dyDescent="0.3">
      <c r="E926" s="12"/>
      <c r="F926" s="12"/>
      <c r="G926" s="13"/>
      <c r="H926" s="12"/>
    </row>
    <row r="927" spans="5:8" ht="13.5" customHeight="1" x14ac:dyDescent="0.3">
      <c r="E927" s="12"/>
      <c r="F927" s="12"/>
      <c r="G927" s="13"/>
      <c r="H927" s="12"/>
    </row>
    <row r="928" spans="5:8" ht="13.5" customHeight="1" x14ac:dyDescent="0.3">
      <c r="E928" s="12"/>
      <c r="F928" s="12"/>
      <c r="G928" s="13"/>
      <c r="H928" s="12"/>
    </row>
    <row r="929" spans="5:8" ht="13.5" customHeight="1" x14ac:dyDescent="0.3">
      <c r="E929" s="12"/>
      <c r="F929" s="12"/>
      <c r="G929" s="13"/>
      <c r="H929" s="12"/>
    </row>
    <row r="930" spans="5:8" ht="13.5" customHeight="1" x14ac:dyDescent="0.3">
      <c r="E930" s="12"/>
      <c r="F930" s="12"/>
      <c r="G930" s="13"/>
      <c r="H930" s="12"/>
    </row>
    <row r="931" spans="5:8" ht="13.5" customHeight="1" x14ac:dyDescent="0.3">
      <c r="E931" s="12"/>
      <c r="F931" s="12"/>
      <c r="G931" s="13"/>
      <c r="H931" s="12"/>
    </row>
    <row r="932" spans="5:8" ht="13.5" customHeight="1" x14ac:dyDescent="0.3">
      <c r="E932" s="12"/>
      <c r="F932" s="12"/>
      <c r="G932" s="13"/>
      <c r="H932" s="12"/>
    </row>
    <row r="933" spans="5:8" ht="13.5" customHeight="1" x14ac:dyDescent="0.3">
      <c r="E933" s="12"/>
      <c r="F933" s="12"/>
      <c r="G933" s="13"/>
      <c r="H933" s="12"/>
    </row>
    <row r="934" spans="5:8" ht="13.5" customHeight="1" x14ac:dyDescent="0.3">
      <c r="E934" s="12"/>
      <c r="F934" s="12"/>
      <c r="G934" s="13"/>
      <c r="H934" s="12"/>
    </row>
    <row r="935" spans="5:8" ht="13.5" customHeight="1" x14ac:dyDescent="0.3">
      <c r="E935" s="12"/>
      <c r="F935" s="12"/>
      <c r="G935" s="13"/>
      <c r="H935" s="12"/>
    </row>
    <row r="936" spans="5:8" ht="13.5" customHeight="1" x14ac:dyDescent="0.3">
      <c r="E936" s="12"/>
      <c r="F936" s="12"/>
      <c r="G936" s="13"/>
      <c r="H936" s="12"/>
    </row>
    <row r="937" spans="5:8" ht="13.5" customHeight="1" x14ac:dyDescent="0.3">
      <c r="E937" s="12"/>
      <c r="F937" s="12"/>
      <c r="G937" s="13"/>
      <c r="H937" s="12"/>
    </row>
    <row r="938" spans="5:8" ht="13.5" customHeight="1" x14ac:dyDescent="0.3">
      <c r="E938" s="12"/>
      <c r="F938" s="12"/>
      <c r="G938" s="13"/>
      <c r="H938" s="12"/>
    </row>
    <row r="939" spans="5:8" ht="13.5" customHeight="1" x14ac:dyDescent="0.3">
      <c r="E939" s="12"/>
      <c r="F939" s="12"/>
      <c r="G939" s="13"/>
      <c r="H939" s="12"/>
    </row>
    <row r="940" spans="5:8" ht="13.5" customHeight="1" x14ac:dyDescent="0.3">
      <c r="E940" s="12"/>
      <c r="F940" s="12"/>
      <c r="G940" s="13"/>
      <c r="H940" s="12"/>
    </row>
    <row r="941" spans="5:8" ht="13.5" customHeight="1" x14ac:dyDescent="0.3">
      <c r="E941" s="12"/>
      <c r="F941" s="12"/>
      <c r="G941" s="13"/>
      <c r="H941" s="12"/>
    </row>
    <row r="942" spans="5:8" ht="13.5" customHeight="1" x14ac:dyDescent="0.3">
      <c r="E942" s="12"/>
      <c r="F942" s="12"/>
      <c r="G942" s="13"/>
      <c r="H942" s="12"/>
    </row>
    <row r="943" spans="5:8" ht="13.5" customHeight="1" x14ac:dyDescent="0.3">
      <c r="E943" s="12"/>
      <c r="F943" s="12"/>
      <c r="G943" s="13"/>
      <c r="H943" s="12"/>
    </row>
    <row r="944" spans="5:8" ht="13.5" customHeight="1" x14ac:dyDescent="0.3">
      <c r="E944" s="12"/>
      <c r="F944" s="12"/>
      <c r="G944" s="13"/>
      <c r="H944" s="12"/>
    </row>
    <row r="945" spans="5:8" ht="13.5" customHeight="1" x14ac:dyDescent="0.3">
      <c r="E945" s="12"/>
      <c r="F945" s="12"/>
      <c r="G945" s="13"/>
      <c r="H945" s="12"/>
    </row>
    <row r="946" spans="5:8" ht="13.5" customHeight="1" x14ac:dyDescent="0.3">
      <c r="E946" s="12"/>
      <c r="F946" s="12"/>
      <c r="G946" s="13"/>
      <c r="H946" s="12"/>
    </row>
    <row r="947" spans="5:8" ht="13.5" customHeight="1" x14ac:dyDescent="0.3">
      <c r="E947" s="12"/>
      <c r="F947" s="12"/>
      <c r="G947" s="13"/>
      <c r="H947" s="12"/>
    </row>
    <row r="948" spans="5:8" ht="13.5" customHeight="1" x14ac:dyDescent="0.3">
      <c r="E948" s="12"/>
      <c r="F948" s="12"/>
      <c r="G948" s="13"/>
      <c r="H948" s="12"/>
    </row>
    <row r="949" spans="5:8" ht="13.5" customHeight="1" x14ac:dyDescent="0.3">
      <c r="E949" s="12"/>
      <c r="F949" s="12"/>
      <c r="G949" s="13"/>
      <c r="H949" s="12"/>
    </row>
    <row r="950" spans="5:8" ht="13.5" customHeight="1" x14ac:dyDescent="0.3">
      <c r="E950" s="12"/>
      <c r="F950" s="12"/>
      <c r="G950" s="13"/>
      <c r="H950" s="12"/>
    </row>
    <row r="951" spans="5:8" ht="13.5" customHeight="1" x14ac:dyDescent="0.3">
      <c r="E951" s="12"/>
      <c r="F951" s="12"/>
      <c r="G951" s="13"/>
      <c r="H951" s="12"/>
    </row>
    <row r="952" spans="5:8" ht="13.5" customHeight="1" x14ac:dyDescent="0.3">
      <c r="E952" s="12"/>
      <c r="F952" s="12"/>
      <c r="G952" s="13"/>
      <c r="H952" s="12"/>
    </row>
    <row r="953" spans="5:8" ht="13.5" customHeight="1" x14ac:dyDescent="0.3">
      <c r="E953" s="12"/>
      <c r="F953" s="12"/>
      <c r="G953" s="13"/>
      <c r="H953" s="12"/>
    </row>
    <row r="954" spans="5:8" ht="13.5" customHeight="1" x14ac:dyDescent="0.3">
      <c r="E954" s="12"/>
      <c r="F954" s="12"/>
      <c r="G954" s="13"/>
      <c r="H954" s="12"/>
    </row>
    <row r="955" spans="5:8" ht="13.5" customHeight="1" x14ac:dyDescent="0.3">
      <c r="E955" s="12"/>
      <c r="F955" s="12"/>
      <c r="G955" s="13"/>
      <c r="H955" s="12"/>
    </row>
    <row r="956" spans="5:8" ht="13.5" customHeight="1" x14ac:dyDescent="0.3">
      <c r="E956" s="12"/>
      <c r="F956" s="12"/>
      <c r="G956" s="13"/>
      <c r="H956" s="12"/>
    </row>
    <row r="957" spans="5:8" ht="13.5" customHeight="1" x14ac:dyDescent="0.3">
      <c r="E957" s="12"/>
      <c r="F957" s="12"/>
      <c r="G957" s="13"/>
      <c r="H957" s="12"/>
    </row>
    <row r="958" spans="5:8" ht="13.5" customHeight="1" x14ac:dyDescent="0.3">
      <c r="E958" s="12"/>
      <c r="F958" s="12"/>
      <c r="G958" s="13"/>
      <c r="H958" s="12"/>
    </row>
    <row r="959" spans="5:8" ht="13.5" customHeight="1" x14ac:dyDescent="0.3">
      <c r="E959" s="12"/>
      <c r="F959" s="12"/>
      <c r="G959" s="13"/>
      <c r="H959" s="12"/>
    </row>
    <row r="960" spans="5:8" ht="13.5" customHeight="1" x14ac:dyDescent="0.3">
      <c r="E960" s="12"/>
      <c r="F960" s="12"/>
      <c r="G960" s="13"/>
      <c r="H960" s="12"/>
    </row>
    <row r="961" spans="5:8" ht="13.5" customHeight="1" x14ac:dyDescent="0.3">
      <c r="E961" s="12"/>
      <c r="F961" s="12"/>
      <c r="G961" s="13"/>
      <c r="H961" s="12"/>
    </row>
    <row r="962" spans="5:8" ht="13.5" customHeight="1" x14ac:dyDescent="0.3">
      <c r="E962" s="12"/>
      <c r="F962" s="12"/>
      <c r="G962" s="13"/>
      <c r="H962" s="12"/>
    </row>
    <row r="963" spans="5:8" ht="13.5" customHeight="1" x14ac:dyDescent="0.3">
      <c r="E963" s="12"/>
      <c r="F963" s="12"/>
      <c r="G963" s="13"/>
      <c r="H963" s="12"/>
    </row>
    <row r="964" spans="5:8" ht="13.5" customHeight="1" x14ac:dyDescent="0.3">
      <c r="E964" s="12"/>
      <c r="F964" s="12"/>
      <c r="G964" s="13"/>
      <c r="H964" s="12"/>
    </row>
    <row r="965" spans="5:8" ht="13.5" customHeight="1" x14ac:dyDescent="0.3">
      <c r="E965" s="12"/>
      <c r="F965" s="12"/>
      <c r="G965" s="13"/>
      <c r="H965" s="12"/>
    </row>
    <row r="966" spans="5:8" ht="13.5" customHeight="1" x14ac:dyDescent="0.3">
      <c r="E966" s="12"/>
      <c r="F966" s="12"/>
      <c r="G966" s="13"/>
      <c r="H966" s="12"/>
    </row>
    <row r="967" spans="5:8" ht="13.5" customHeight="1" x14ac:dyDescent="0.3">
      <c r="E967" s="12"/>
      <c r="F967" s="12"/>
      <c r="G967" s="13"/>
      <c r="H967" s="12"/>
    </row>
    <row r="968" spans="5:8" ht="13.5" customHeight="1" x14ac:dyDescent="0.3">
      <c r="E968" s="12"/>
      <c r="F968" s="12"/>
      <c r="G968" s="13"/>
      <c r="H968" s="12"/>
    </row>
    <row r="969" spans="5:8" ht="13.5" customHeight="1" x14ac:dyDescent="0.3">
      <c r="E969" s="12"/>
      <c r="F969" s="12"/>
      <c r="G969" s="13"/>
      <c r="H969" s="12"/>
    </row>
    <row r="970" spans="5:8" ht="13.5" customHeight="1" x14ac:dyDescent="0.3">
      <c r="E970" s="12"/>
      <c r="F970" s="12"/>
      <c r="G970" s="13"/>
      <c r="H970" s="12"/>
    </row>
    <row r="971" spans="5:8" ht="13.5" customHeight="1" x14ac:dyDescent="0.3">
      <c r="E971" s="12"/>
      <c r="F971" s="12"/>
      <c r="G971" s="13"/>
      <c r="H971" s="12"/>
    </row>
    <row r="972" spans="5:8" ht="13.5" customHeight="1" x14ac:dyDescent="0.3">
      <c r="E972" s="12"/>
      <c r="F972" s="12"/>
      <c r="G972" s="13"/>
      <c r="H972" s="12"/>
    </row>
    <row r="973" spans="5:8" ht="13.5" customHeight="1" x14ac:dyDescent="0.3">
      <c r="E973" s="12"/>
      <c r="F973" s="12"/>
      <c r="G973" s="13"/>
      <c r="H973" s="12"/>
    </row>
    <row r="974" spans="5:8" ht="13.5" customHeight="1" x14ac:dyDescent="0.3">
      <c r="E974" s="12"/>
      <c r="F974" s="12"/>
      <c r="G974" s="13"/>
      <c r="H974" s="12"/>
    </row>
    <row r="975" spans="5:8" ht="13.5" customHeight="1" x14ac:dyDescent="0.3">
      <c r="E975" s="12"/>
      <c r="F975" s="12"/>
      <c r="G975" s="13"/>
      <c r="H975" s="12"/>
    </row>
    <row r="976" spans="5:8" ht="13.5" customHeight="1" x14ac:dyDescent="0.3">
      <c r="E976" s="12"/>
      <c r="F976" s="12"/>
      <c r="G976" s="13"/>
      <c r="H976" s="12"/>
    </row>
    <row r="977" spans="5:8" ht="13.5" customHeight="1" x14ac:dyDescent="0.3">
      <c r="E977" s="12"/>
      <c r="F977" s="12"/>
      <c r="G977" s="13"/>
      <c r="H977" s="12"/>
    </row>
    <row r="978" spans="5:8" ht="13.5" customHeight="1" x14ac:dyDescent="0.3">
      <c r="E978" s="12"/>
      <c r="F978" s="12"/>
      <c r="G978" s="13"/>
      <c r="H978" s="12"/>
    </row>
    <row r="979" spans="5:8" ht="13.5" customHeight="1" x14ac:dyDescent="0.3">
      <c r="E979" s="12"/>
      <c r="F979" s="12"/>
      <c r="G979" s="13"/>
      <c r="H979" s="12"/>
    </row>
    <row r="980" spans="5:8" ht="13.5" customHeight="1" x14ac:dyDescent="0.3">
      <c r="E980" s="12"/>
      <c r="F980" s="12"/>
      <c r="G980" s="13"/>
      <c r="H980" s="12"/>
    </row>
    <row r="981" spans="5:8" ht="13.5" customHeight="1" x14ac:dyDescent="0.3">
      <c r="E981" s="12"/>
      <c r="F981" s="12"/>
      <c r="G981" s="13"/>
      <c r="H981" s="12"/>
    </row>
    <row r="982" spans="5:8" ht="13.5" customHeight="1" x14ac:dyDescent="0.3">
      <c r="E982" s="12"/>
      <c r="F982" s="12"/>
      <c r="G982" s="13"/>
      <c r="H982" s="12"/>
    </row>
    <row r="983" spans="5:8" ht="13.5" customHeight="1" x14ac:dyDescent="0.3">
      <c r="G983" s="11"/>
    </row>
    <row r="984" spans="5:8" ht="13.5" customHeight="1" x14ac:dyDescent="0.3">
      <c r="G984" s="11"/>
    </row>
    <row r="985" spans="5:8" ht="13.5" customHeight="1" x14ac:dyDescent="0.3">
      <c r="G985" s="11"/>
    </row>
    <row r="986" spans="5:8" ht="13.5" customHeight="1" x14ac:dyDescent="0.3">
      <c r="G986" s="11"/>
    </row>
    <row r="987" spans="5:8" ht="13.5" customHeight="1" x14ac:dyDescent="0.3">
      <c r="G987" s="11"/>
    </row>
    <row r="988" spans="5:8" ht="13.5" customHeight="1" x14ac:dyDescent="0.3">
      <c r="G988" s="11"/>
    </row>
    <row r="989" spans="5:8" ht="13.5" customHeight="1" x14ac:dyDescent="0.3">
      <c r="G989" s="11"/>
    </row>
    <row r="990" spans="5:8" ht="13.5" customHeight="1" x14ac:dyDescent="0.3">
      <c r="G990" s="11"/>
    </row>
    <row r="991" spans="5:8" ht="13.5" customHeight="1" x14ac:dyDescent="0.3">
      <c r="G991" s="11"/>
    </row>
    <row r="992" spans="5:8" ht="13.5" customHeight="1" x14ac:dyDescent="0.3">
      <c r="G992" s="11"/>
    </row>
    <row r="993" spans="7:7" ht="13.5" customHeight="1" x14ac:dyDescent="0.3">
      <c r="G993" s="11"/>
    </row>
    <row r="994" spans="7:7" ht="13.5" customHeight="1" x14ac:dyDescent="0.3">
      <c r="G994" s="11"/>
    </row>
    <row r="995" spans="7:7" ht="13.5" customHeight="1" x14ac:dyDescent="0.3">
      <c r="G995" s="11"/>
    </row>
    <row r="996" spans="7:7" ht="13.5" customHeight="1" x14ac:dyDescent="0.3">
      <c r="G996" s="11"/>
    </row>
    <row r="997" spans="7:7" ht="13.5" customHeight="1" x14ac:dyDescent="0.3">
      <c r="G997" s="11"/>
    </row>
    <row r="998" spans="7:7" ht="13.5" customHeight="1" x14ac:dyDescent="0.3">
      <c r="G998" s="11"/>
    </row>
    <row r="999" spans="7:7" ht="13.5" customHeight="1" x14ac:dyDescent="0.3">
      <c r="G999" s="11"/>
    </row>
    <row r="1000" spans="7:7" ht="13.5" customHeight="1" x14ac:dyDescent="0.3">
      <c r="G1000" s="11"/>
    </row>
    <row r="1001" spans="7:7" ht="13.5" customHeight="1" x14ac:dyDescent="0.3">
      <c r="G1001" s="11"/>
    </row>
    <row r="1002" spans="7:7" ht="13.5" customHeight="1" x14ac:dyDescent="0.3">
      <c r="G1002" s="11"/>
    </row>
    <row r="1003" spans="7:7" ht="13.5" customHeight="1" x14ac:dyDescent="0.3">
      <c r="G1003" s="11"/>
    </row>
    <row r="1004" spans="7:7" ht="13.5" customHeight="1" x14ac:dyDescent="0.3">
      <c r="G1004" s="11"/>
    </row>
    <row r="1005" spans="7:7" ht="13.5" customHeight="1" x14ac:dyDescent="0.3">
      <c r="G1005" s="11"/>
    </row>
    <row r="1006" spans="7:7" ht="13.5" customHeight="1" x14ac:dyDescent="0.3">
      <c r="G1006" s="11"/>
    </row>
    <row r="1007" spans="7:7" ht="13.5" customHeight="1" x14ac:dyDescent="0.3">
      <c r="G1007" s="11"/>
    </row>
    <row r="1008" spans="7:7" ht="13.5" customHeight="1" x14ac:dyDescent="0.3">
      <c r="G1008" s="11"/>
    </row>
    <row r="1009" spans="7:7" ht="13.5" customHeight="1" x14ac:dyDescent="0.3">
      <c r="G1009" s="11"/>
    </row>
    <row r="1010" spans="7:7" ht="13.5" customHeight="1" x14ac:dyDescent="0.3">
      <c r="G1010" s="11"/>
    </row>
    <row r="1011" spans="7:7" ht="13.5" customHeight="1" x14ac:dyDescent="0.3">
      <c r="G1011" s="11"/>
    </row>
    <row r="1012" spans="7:7" ht="13.5" customHeight="1" x14ac:dyDescent="0.3">
      <c r="G1012" s="11"/>
    </row>
    <row r="1013" spans="7:7" ht="13.5" customHeight="1" x14ac:dyDescent="0.3">
      <c r="G1013" s="11"/>
    </row>
    <row r="1014" spans="7:7" ht="13.5" customHeight="1" x14ac:dyDescent="0.3">
      <c r="G1014" s="11"/>
    </row>
    <row r="1015" spans="7:7" ht="13.5" customHeight="1" x14ac:dyDescent="0.3">
      <c r="G1015" s="11"/>
    </row>
    <row r="1016" spans="7:7" ht="13.5" customHeight="1" x14ac:dyDescent="0.3">
      <c r="G1016" s="11"/>
    </row>
    <row r="1017" spans="7:7" ht="13.5" customHeight="1" x14ac:dyDescent="0.3">
      <c r="G1017" s="11"/>
    </row>
    <row r="1018" spans="7:7" ht="13.5" customHeight="1" x14ac:dyDescent="0.3">
      <c r="G1018" s="11"/>
    </row>
    <row r="1019" spans="7:7" ht="13.5" customHeight="1" x14ac:dyDescent="0.3">
      <c r="G1019" s="11"/>
    </row>
    <row r="1020" spans="7:7" ht="13.5" customHeight="1" x14ac:dyDescent="0.3">
      <c r="G1020" s="11"/>
    </row>
    <row r="1021" spans="7:7" ht="13.5" customHeight="1" x14ac:dyDescent="0.3">
      <c r="G1021" s="11"/>
    </row>
    <row r="1022" spans="7:7" ht="13.5" customHeight="1" x14ac:dyDescent="0.3">
      <c r="G1022" s="11"/>
    </row>
    <row r="1023" spans="7:7" ht="13.5" customHeight="1" x14ac:dyDescent="0.3">
      <c r="G1023" s="11"/>
    </row>
  </sheetData>
  <mergeCells count="3">
    <mergeCell ref="M3:M6"/>
    <mergeCell ref="J4:J6"/>
    <mergeCell ref="O5:O6"/>
  </mergeCells>
  <phoneticPr fontId="32" type="noConversion"/>
  <pageMargins left="0.7" right="0.7" top="0.75" bottom="0.75" header="0" footer="0"/>
  <pageSetup paperSize="8"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AADB"/>
    <pageSetUpPr fitToPage="1"/>
  </sheetPr>
  <dimension ref="A1:AG1079"/>
  <sheetViews>
    <sheetView showGridLines="0" topLeftCell="A66" workbookViewId="0">
      <selection activeCell="D42" sqref="D42"/>
    </sheetView>
  </sheetViews>
  <sheetFormatPr defaultColWidth="14.44140625" defaultRowHeight="15" customHeight="1" x14ac:dyDescent="0.3"/>
  <cols>
    <col min="1" max="1" width="5.44140625" customWidth="1"/>
    <col min="2" max="3" width="11.44140625" customWidth="1"/>
    <col min="4" max="4" width="39.21875" customWidth="1"/>
    <col min="5" max="5" width="15" customWidth="1"/>
    <col min="6" max="6" width="13.33203125" customWidth="1"/>
    <col min="7" max="7" width="12.5546875" customWidth="1"/>
    <col min="8" max="11" width="11.5546875" customWidth="1"/>
    <col min="12" max="12" width="5.33203125" customWidth="1"/>
    <col min="13" max="14" width="6.109375" customWidth="1"/>
    <col min="15" max="15" width="6.44140625" customWidth="1"/>
    <col min="16" max="16" width="6" customWidth="1"/>
    <col min="17" max="17" width="6.109375" customWidth="1"/>
    <col min="18" max="18" width="6.44140625" customWidth="1"/>
    <col min="19" max="19" width="5.88671875" customWidth="1"/>
    <col min="20" max="20" width="6.5546875" customWidth="1"/>
    <col min="21" max="22" width="5.88671875" customWidth="1"/>
    <col min="23" max="23" width="6.109375" customWidth="1"/>
    <col min="24" max="24" width="5.33203125" customWidth="1"/>
    <col min="25" max="25" width="5.44140625" customWidth="1"/>
    <col min="26" max="26" width="5.33203125" customWidth="1"/>
    <col min="27" max="27" width="6.33203125" customWidth="1"/>
    <col min="28" max="28" width="6" customWidth="1"/>
    <col min="29" max="29" width="5.6640625" customWidth="1"/>
    <col min="30" max="30" width="6.109375" customWidth="1"/>
    <col min="31" max="32" width="6" customWidth="1"/>
    <col min="33" max="33" width="7.109375" customWidth="1"/>
  </cols>
  <sheetData>
    <row r="1" spans="1:33" ht="13.5" customHeight="1" x14ac:dyDescent="0.3">
      <c r="A1" s="21"/>
      <c r="B1" s="22"/>
      <c r="C1" s="23"/>
      <c r="D1" s="21"/>
      <c r="E1" s="23"/>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row>
    <row r="2" spans="1:33" ht="13.5" customHeight="1" x14ac:dyDescent="0.3">
      <c r="A2" s="21"/>
      <c r="B2" s="22"/>
      <c r="C2" s="23"/>
      <c r="D2" s="21"/>
      <c r="E2" s="23"/>
      <c r="F2" s="21"/>
      <c r="G2" s="21"/>
      <c r="H2" s="206"/>
      <c r="I2" s="21"/>
      <c r="J2" s="21"/>
      <c r="K2" s="21"/>
      <c r="L2" s="21"/>
      <c r="M2" s="21"/>
      <c r="N2" s="21"/>
      <c r="O2" s="21"/>
      <c r="P2" s="21"/>
      <c r="Q2" s="21"/>
      <c r="R2" s="21"/>
      <c r="S2" s="21"/>
      <c r="T2" s="21"/>
      <c r="U2" s="21"/>
      <c r="V2" s="21"/>
      <c r="W2" s="21"/>
      <c r="X2" s="21"/>
      <c r="Y2" s="21"/>
      <c r="Z2" s="21"/>
      <c r="AA2" s="21"/>
      <c r="AB2" s="21"/>
      <c r="AC2" s="21"/>
      <c r="AD2" s="21"/>
      <c r="AE2" s="21"/>
      <c r="AF2" s="21"/>
      <c r="AG2" s="21"/>
    </row>
    <row r="3" spans="1:33" ht="13.5" customHeight="1" x14ac:dyDescent="0.3">
      <c r="A3" s="21"/>
      <c r="B3" s="22"/>
      <c r="C3" s="23"/>
      <c r="D3" s="21"/>
      <c r="E3" s="23"/>
      <c r="F3" s="21"/>
      <c r="G3" s="21"/>
      <c r="H3" s="202"/>
      <c r="I3" s="21"/>
      <c r="J3" s="21"/>
      <c r="K3" s="205"/>
      <c r="L3" s="201"/>
      <c r="M3" s="202"/>
      <c r="N3" s="202"/>
      <c r="O3" s="202"/>
      <c r="P3" s="202"/>
      <c r="Q3" s="202"/>
      <c r="R3" s="202"/>
      <c r="S3" s="202"/>
      <c r="T3" s="202"/>
      <c r="U3" s="202"/>
      <c r="V3" s="21"/>
      <c r="W3" s="21"/>
      <c r="X3" s="21"/>
      <c r="Y3" s="21"/>
      <c r="Z3" s="21"/>
      <c r="AA3" s="21"/>
      <c r="AB3" s="21"/>
      <c r="AC3" s="21"/>
      <c r="AD3" s="21"/>
      <c r="AE3" s="21"/>
      <c r="AF3" s="21"/>
      <c r="AG3" s="21"/>
    </row>
    <row r="4" spans="1:33" ht="12.75" customHeight="1" x14ac:dyDescent="0.3">
      <c r="A4" s="21"/>
      <c r="B4" s="22"/>
      <c r="C4" s="23"/>
      <c r="D4" s="21"/>
      <c r="E4" s="204"/>
      <c r="F4" s="21"/>
      <c r="G4" s="208"/>
      <c r="H4" s="202"/>
      <c r="I4" s="205"/>
      <c r="J4" s="206" t="s">
        <v>103</v>
      </c>
      <c r="K4" s="202"/>
      <c r="L4" s="202"/>
      <c r="M4" s="202"/>
      <c r="N4" s="202"/>
      <c r="O4" s="202"/>
      <c r="P4" s="202"/>
      <c r="Q4" s="202"/>
      <c r="R4" s="202"/>
      <c r="S4" s="202"/>
      <c r="T4" s="202"/>
      <c r="U4" s="202"/>
      <c r="V4" s="21"/>
      <c r="W4" s="21"/>
      <c r="X4" s="21"/>
      <c r="Y4" s="21"/>
      <c r="Z4" s="21"/>
      <c r="AA4" s="21"/>
      <c r="AB4" s="21"/>
      <c r="AC4" s="21"/>
      <c r="AD4" s="21"/>
      <c r="AE4" s="21"/>
      <c r="AF4" s="21"/>
      <c r="AG4" s="21"/>
    </row>
    <row r="5" spans="1:33" ht="18" customHeight="1" x14ac:dyDescent="0.3">
      <c r="A5" s="21"/>
      <c r="B5" s="207" t="s">
        <v>104</v>
      </c>
      <c r="C5" s="202"/>
      <c r="D5" s="21"/>
      <c r="E5" s="202"/>
      <c r="F5" s="209"/>
      <c r="G5" s="202"/>
      <c r="H5" s="202"/>
      <c r="I5" s="202"/>
      <c r="J5" s="202"/>
      <c r="K5" s="202"/>
      <c r="L5" s="202"/>
      <c r="M5" s="202"/>
      <c r="N5" s="202"/>
      <c r="O5" s="202"/>
      <c r="P5" s="202"/>
      <c r="Q5" s="202"/>
      <c r="R5" s="202"/>
      <c r="S5" s="202"/>
      <c r="T5" s="202"/>
      <c r="U5" s="202"/>
      <c r="V5" s="21"/>
      <c r="W5" s="21"/>
      <c r="X5" s="21"/>
      <c r="Y5" s="21"/>
      <c r="Z5" s="21"/>
      <c r="AA5" s="21"/>
      <c r="AB5" s="21"/>
      <c r="AC5" s="21"/>
      <c r="AD5" s="21"/>
      <c r="AE5" s="21"/>
      <c r="AF5" s="21"/>
      <c r="AG5" s="21"/>
    </row>
    <row r="6" spans="1:33" ht="13.5" customHeight="1" x14ac:dyDescent="0.3">
      <c r="A6" s="21"/>
      <c r="B6" s="24"/>
      <c r="C6" s="23"/>
      <c r="D6" s="21"/>
      <c r="E6" s="203"/>
      <c r="F6" s="203"/>
      <c r="G6" s="203"/>
      <c r="H6" s="203"/>
      <c r="I6" s="203"/>
      <c r="J6" s="203"/>
      <c r="K6" s="203"/>
      <c r="L6" s="203"/>
      <c r="M6" s="203"/>
      <c r="N6" s="203"/>
      <c r="O6" s="203"/>
      <c r="P6" s="203"/>
      <c r="Q6" s="203"/>
      <c r="R6" s="203"/>
      <c r="S6" s="203"/>
      <c r="T6" s="203"/>
      <c r="U6" s="203"/>
      <c r="V6" s="21"/>
      <c r="W6" s="21"/>
      <c r="X6" s="21"/>
      <c r="Y6" s="21"/>
      <c r="Z6" s="21"/>
      <c r="AA6" s="21"/>
      <c r="AB6" s="21"/>
      <c r="AC6" s="21"/>
      <c r="AD6" s="21"/>
      <c r="AE6" s="21"/>
      <c r="AF6" s="21"/>
      <c r="AG6" s="21"/>
    </row>
    <row r="7" spans="1:33" ht="34.5" customHeight="1" x14ac:dyDescent="0.3">
      <c r="A7" s="21"/>
      <c r="B7" s="25" t="s">
        <v>105</v>
      </c>
      <c r="C7" s="25" t="s">
        <v>106</v>
      </c>
      <c r="D7" s="25" t="s">
        <v>107</v>
      </c>
      <c r="E7" s="25" t="s">
        <v>32</v>
      </c>
      <c r="F7" s="25" t="s">
        <v>5</v>
      </c>
      <c r="G7" s="26" t="s">
        <v>108</v>
      </c>
      <c r="H7" s="26" t="s">
        <v>109</v>
      </c>
      <c r="I7" s="26" t="s">
        <v>110</v>
      </c>
      <c r="J7" s="26" t="s">
        <v>111</v>
      </c>
      <c r="K7" s="26" t="s">
        <v>112</v>
      </c>
      <c r="L7" s="27" t="s">
        <v>113</v>
      </c>
      <c r="M7" s="27" t="s">
        <v>114</v>
      </c>
      <c r="N7" s="27" t="s">
        <v>115</v>
      </c>
      <c r="O7" s="27" t="s">
        <v>116</v>
      </c>
      <c r="P7" s="27" t="s">
        <v>117</v>
      </c>
      <c r="Q7" s="27" t="s">
        <v>118</v>
      </c>
      <c r="R7" s="27" t="s">
        <v>119</v>
      </c>
      <c r="S7" s="27" t="s">
        <v>120</v>
      </c>
      <c r="T7" s="27" t="s">
        <v>121</v>
      </c>
      <c r="U7" s="27" t="s">
        <v>122</v>
      </c>
      <c r="V7" s="27" t="s">
        <v>123</v>
      </c>
      <c r="W7" s="27" t="s">
        <v>124</v>
      </c>
      <c r="X7" s="27" t="s">
        <v>125</v>
      </c>
      <c r="Y7" s="27" t="s">
        <v>126</v>
      </c>
      <c r="Z7" s="27" t="s">
        <v>127</v>
      </c>
      <c r="AA7" s="27" t="s">
        <v>128</v>
      </c>
      <c r="AB7" s="27" t="s">
        <v>129</v>
      </c>
      <c r="AC7" s="27" t="s">
        <v>130</v>
      </c>
      <c r="AD7" s="27" t="s">
        <v>131</v>
      </c>
      <c r="AE7" s="27" t="s">
        <v>132</v>
      </c>
      <c r="AF7" s="27" t="s">
        <v>133</v>
      </c>
      <c r="AG7" s="21"/>
    </row>
    <row r="8" spans="1:33" ht="13.5" customHeight="1" x14ac:dyDescent="0.3">
      <c r="A8" s="21"/>
      <c r="B8" s="28" t="s">
        <v>134</v>
      </c>
      <c r="C8" s="29"/>
      <c r="D8" s="30" t="s">
        <v>135</v>
      </c>
      <c r="E8" s="31" t="s">
        <v>136</v>
      </c>
      <c r="F8" s="29" t="s">
        <v>137</v>
      </c>
      <c r="G8" s="29">
        <v>5</v>
      </c>
      <c r="H8" s="32">
        <v>5</v>
      </c>
      <c r="I8" s="32">
        <f t="shared" ref="I8:I20" si="0">G8-H8</f>
        <v>0</v>
      </c>
      <c r="J8" s="32">
        <v>5</v>
      </c>
      <c r="K8" s="32">
        <f t="shared" ref="K8:K20" si="1">SUM(J8-G8)</f>
        <v>0</v>
      </c>
      <c r="L8" s="33">
        <v>1</v>
      </c>
      <c r="M8" s="33">
        <v>2</v>
      </c>
      <c r="N8" s="33">
        <v>2</v>
      </c>
      <c r="O8" s="33">
        <v>0</v>
      </c>
      <c r="P8" s="33">
        <v>0</v>
      </c>
      <c r="Q8" s="33">
        <v>0</v>
      </c>
      <c r="R8" s="33">
        <v>0</v>
      </c>
      <c r="S8" s="33">
        <v>0</v>
      </c>
      <c r="T8" s="33">
        <v>0</v>
      </c>
      <c r="U8" s="33">
        <v>0</v>
      </c>
      <c r="V8" s="33">
        <v>0</v>
      </c>
      <c r="W8" s="33">
        <v>0</v>
      </c>
      <c r="X8" s="33">
        <v>0</v>
      </c>
      <c r="Y8" s="33">
        <v>0</v>
      </c>
      <c r="Z8" s="33">
        <v>0</v>
      </c>
      <c r="AA8" s="33">
        <v>0</v>
      </c>
      <c r="AB8" s="33">
        <v>0</v>
      </c>
      <c r="AC8" s="33">
        <v>0</v>
      </c>
      <c r="AD8" s="33">
        <v>0</v>
      </c>
      <c r="AE8" s="33">
        <v>0</v>
      </c>
      <c r="AF8" s="33">
        <v>0</v>
      </c>
      <c r="AG8" s="21"/>
    </row>
    <row r="9" spans="1:33" ht="13.5" customHeight="1" x14ac:dyDescent="0.3">
      <c r="A9" s="21"/>
      <c r="B9" s="28" t="s">
        <v>138</v>
      </c>
      <c r="C9" s="29"/>
      <c r="D9" s="34" t="s">
        <v>139</v>
      </c>
      <c r="E9" s="31" t="s">
        <v>140</v>
      </c>
      <c r="F9" s="29" t="s">
        <v>137</v>
      </c>
      <c r="G9" s="29">
        <v>5</v>
      </c>
      <c r="H9" s="32">
        <v>5</v>
      </c>
      <c r="I9" s="32">
        <f t="shared" si="0"/>
        <v>0</v>
      </c>
      <c r="J9" s="32">
        <v>5</v>
      </c>
      <c r="K9" s="32">
        <f t="shared" si="1"/>
        <v>0</v>
      </c>
      <c r="L9" s="33">
        <v>2</v>
      </c>
      <c r="M9" s="33">
        <v>1</v>
      </c>
      <c r="N9" s="33">
        <v>1</v>
      </c>
      <c r="O9" s="33">
        <v>0</v>
      </c>
      <c r="P9" s="33">
        <v>0</v>
      </c>
      <c r="Q9" s="33">
        <v>0</v>
      </c>
      <c r="R9" s="33">
        <v>0</v>
      </c>
      <c r="S9" s="33">
        <v>0</v>
      </c>
      <c r="T9" s="33">
        <v>0</v>
      </c>
      <c r="U9" s="33">
        <v>0</v>
      </c>
      <c r="V9" s="33">
        <v>0</v>
      </c>
      <c r="W9" s="33">
        <v>0</v>
      </c>
      <c r="X9" s="33">
        <v>0</v>
      </c>
      <c r="Y9" s="33">
        <v>0</v>
      </c>
      <c r="Z9" s="33">
        <v>0</v>
      </c>
      <c r="AA9" s="33">
        <v>0</v>
      </c>
      <c r="AB9" s="33">
        <v>0</v>
      </c>
      <c r="AC9" s="33">
        <v>0</v>
      </c>
      <c r="AD9" s="33">
        <v>0</v>
      </c>
      <c r="AE9" s="33">
        <v>0</v>
      </c>
      <c r="AF9" s="33">
        <v>0</v>
      </c>
      <c r="AG9" s="21"/>
    </row>
    <row r="10" spans="1:33" ht="13.5" customHeight="1" x14ac:dyDescent="0.3">
      <c r="A10" s="21"/>
      <c r="B10" s="28" t="s">
        <v>141</v>
      </c>
      <c r="C10" s="29"/>
      <c r="D10" s="30" t="s">
        <v>142</v>
      </c>
      <c r="E10" s="31" t="s">
        <v>143</v>
      </c>
      <c r="F10" s="29" t="s">
        <v>137</v>
      </c>
      <c r="G10" s="29">
        <v>6</v>
      </c>
      <c r="H10" s="32">
        <v>6</v>
      </c>
      <c r="I10" s="32">
        <f t="shared" si="0"/>
        <v>0</v>
      </c>
      <c r="J10" s="32">
        <v>6</v>
      </c>
      <c r="K10" s="32">
        <f t="shared" si="1"/>
        <v>0</v>
      </c>
      <c r="L10" s="33">
        <v>2</v>
      </c>
      <c r="M10" s="33">
        <v>2</v>
      </c>
      <c r="N10" s="33">
        <v>2</v>
      </c>
      <c r="O10" s="33">
        <v>0</v>
      </c>
      <c r="P10" s="33">
        <v>0</v>
      </c>
      <c r="Q10" s="33">
        <v>0</v>
      </c>
      <c r="R10" s="33">
        <v>0</v>
      </c>
      <c r="S10" s="33">
        <v>0</v>
      </c>
      <c r="T10" s="33">
        <v>0</v>
      </c>
      <c r="U10" s="33">
        <v>0</v>
      </c>
      <c r="V10" s="33">
        <v>0</v>
      </c>
      <c r="W10" s="33">
        <v>0</v>
      </c>
      <c r="X10" s="33">
        <v>0</v>
      </c>
      <c r="Y10" s="33">
        <v>0</v>
      </c>
      <c r="Z10" s="33">
        <v>0</v>
      </c>
      <c r="AA10" s="33">
        <v>0</v>
      </c>
      <c r="AB10" s="33">
        <v>0</v>
      </c>
      <c r="AC10" s="33">
        <v>0</v>
      </c>
      <c r="AD10" s="33">
        <v>0</v>
      </c>
      <c r="AE10" s="33">
        <v>0</v>
      </c>
      <c r="AF10" s="33">
        <v>0</v>
      </c>
      <c r="AG10" s="21"/>
    </row>
    <row r="11" spans="1:33" ht="13.5" customHeight="1" x14ac:dyDescent="0.3">
      <c r="A11" s="21"/>
      <c r="B11" s="28" t="s">
        <v>144</v>
      </c>
      <c r="C11" s="29"/>
      <c r="D11" s="30" t="s">
        <v>145</v>
      </c>
      <c r="E11" s="31" t="s">
        <v>146</v>
      </c>
      <c r="F11" s="29" t="s">
        <v>137</v>
      </c>
      <c r="G11" s="29">
        <v>5</v>
      </c>
      <c r="H11" s="32">
        <v>3</v>
      </c>
      <c r="I11" s="32">
        <f t="shared" si="0"/>
        <v>2</v>
      </c>
      <c r="J11" s="32">
        <v>5</v>
      </c>
      <c r="K11" s="32">
        <f t="shared" si="1"/>
        <v>0</v>
      </c>
      <c r="L11" s="33">
        <v>0</v>
      </c>
      <c r="M11" s="33">
        <v>1</v>
      </c>
      <c r="N11" s="33">
        <v>1</v>
      </c>
      <c r="O11" s="33">
        <v>1</v>
      </c>
      <c r="P11" s="33">
        <v>0</v>
      </c>
      <c r="Q11" s="33">
        <v>0</v>
      </c>
      <c r="R11" s="33">
        <v>0</v>
      </c>
      <c r="S11" s="33">
        <v>0</v>
      </c>
      <c r="T11" s="33">
        <v>0</v>
      </c>
      <c r="U11" s="33">
        <v>0</v>
      </c>
      <c r="V11" s="33">
        <v>0</v>
      </c>
      <c r="W11" s="33">
        <v>0</v>
      </c>
      <c r="X11" s="33">
        <v>0</v>
      </c>
      <c r="Y11" s="33">
        <v>0</v>
      </c>
      <c r="Z11" s="33">
        <v>0</v>
      </c>
      <c r="AA11" s="33">
        <v>0</v>
      </c>
      <c r="AB11" s="33">
        <v>0</v>
      </c>
      <c r="AC11" s="33">
        <v>0</v>
      </c>
      <c r="AD11" s="33">
        <v>0</v>
      </c>
      <c r="AE11" s="33">
        <v>0</v>
      </c>
      <c r="AF11" s="33">
        <v>0</v>
      </c>
      <c r="AG11" s="21"/>
    </row>
    <row r="12" spans="1:33" ht="13.5" customHeight="1" x14ac:dyDescent="0.3">
      <c r="A12" s="21"/>
      <c r="B12" s="28" t="s">
        <v>147</v>
      </c>
      <c r="C12" s="29"/>
      <c r="D12" s="30" t="s">
        <v>148</v>
      </c>
      <c r="E12" s="31" t="s">
        <v>143</v>
      </c>
      <c r="F12" s="29" t="s">
        <v>137</v>
      </c>
      <c r="G12" s="29">
        <v>6</v>
      </c>
      <c r="H12" s="32">
        <v>6</v>
      </c>
      <c r="I12" s="32">
        <f t="shared" si="0"/>
        <v>0</v>
      </c>
      <c r="J12" s="32">
        <v>5</v>
      </c>
      <c r="K12" s="32">
        <f t="shared" si="1"/>
        <v>-1</v>
      </c>
      <c r="L12" s="33">
        <v>0</v>
      </c>
      <c r="M12" s="33">
        <v>2</v>
      </c>
      <c r="N12" s="33">
        <v>2</v>
      </c>
      <c r="O12" s="33">
        <v>2</v>
      </c>
      <c r="P12" s="33">
        <v>0</v>
      </c>
      <c r="Q12" s="33">
        <v>0</v>
      </c>
      <c r="R12" s="33">
        <v>0</v>
      </c>
      <c r="S12" s="33">
        <v>0</v>
      </c>
      <c r="T12" s="33">
        <v>0</v>
      </c>
      <c r="U12" s="33">
        <v>0</v>
      </c>
      <c r="V12" s="33">
        <v>0</v>
      </c>
      <c r="W12" s="33">
        <v>0</v>
      </c>
      <c r="X12" s="33">
        <v>0</v>
      </c>
      <c r="Y12" s="33">
        <v>0</v>
      </c>
      <c r="Z12" s="33">
        <v>0</v>
      </c>
      <c r="AA12" s="33">
        <v>0</v>
      </c>
      <c r="AB12" s="33">
        <v>0</v>
      </c>
      <c r="AC12" s="33">
        <v>0</v>
      </c>
      <c r="AD12" s="33">
        <v>0</v>
      </c>
      <c r="AE12" s="33">
        <v>0</v>
      </c>
      <c r="AF12" s="33">
        <v>0</v>
      </c>
      <c r="AG12" s="21"/>
    </row>
    <row r="13" spans="1:33" ht="13.5" customHeight="1" x14ac:dyDescent="0.3">
      <c r="A13" s="21"/>
      <c r="B13" s="28" t="s">
        <v>149</v>
      </c>
      <c r="C13" s="29"/>
      <c r="D13" s="30" t="s">
        <v>150</v>
      </c>
      <c r="E13" s="31" t="s">
        <v>151</v>
      </c>
      <c r="F13" s="29" t="s">
        <v>137</v>
      </c>
      <c r="G13" s="29">
        <v>5</v>
      </c>
      <c r="H13" s="32">
        <v>7</v>
      </c>
      <c r="I13" s="32">
        <f t="shared" si="0"/>
        <v>-2</v>
      </c>
      <c r="J13" s="32">
        <v>8</v>
      </c>
      <c r="K13" s="32">
        <f t="shared" si="1"/>
        <v>3</v>
      </c>
      <c r="L13" s="33">
        <v>0</v>
      </c>
      <c r="M13" s="33">
        <v>2</v>
      </c>
      <c r="N13" s="33">
        <v>2</v>
      </c>
      <c r="O13" s="33">
        <v>2</v>
      </c>
      <c r="P13" s="33">
        <v>1</v>
      </c>
      <c r="Q13" s="33">
        <v>0</v>
      </c>
      <c r="R13" s="33">
        <v>0</v>
      </c>
      <c r="S13" s="33">
        <v>0</v>
      </c>
      <c r="T13" s="33">
        <v>0</v>
      </c>
      <c r="U13" s="33">
        <v>0</v>
      </c>
      <c r="V13" s="33">
        <v>0</v>
      </c>
      <c r="W13" s="33">
        <v>0</v>
      </c>
      <c r="X13" s="33">
        <v>0</v>
      </c>
      <c r="Y13" s="33">
        <v>0</v>
      </c>
      <c r="Z13" s="33">
        <v>0</v>
      </c>
      <c r="AA13" s="33">
        <v>0</v>
      </c>
      <c r="AB13" s="33">
        <v>0</v>
      </c>
      <c r="AC13" s="33">
        <v>0</v>
      </c>
      <c r="AD13" s="33">
        <v>0</v>
      </c>
      <c r="AE13" s="33">
        <v>0</v>
      </c>
      <c r="AF13" s="33">
        <v>0</v>
      </c>
      <c r="AG13" s="21"/>
    </row>
    <row r="14" spans="1:33" ht="13.5" customHeight="1" x14ac:dyDescent="0.3">
      <c r="A14" s="21"/>
      <c r="B14" s="28" t="s">
        <v>152</v>
      </c>
      <c r="C14" s="29"/>
      <c r="D14" s="30" t="s">
        <v>153</v>
      </c>
      <c r="E14" s="31" t="s">
        <v>154</v>
      </c>
      <c r="F14" s="29" t="s">
        <v>137</v>
      </c>
      <c r="G14" s="29">
        <v>10</v>
      </c>
      <c r="H14" s="32">
        <v>10</v>
      </c>
      <c r="I14" s="32">
        <f t="shared" si="0"/>
        <v>0</v>
      </c>
      <c r="J14" s="32">
        <v>15</v>
      </c>
      <c r="K14" s="32">
        <f t="shared" si="1"/>
        <v>5</v>
      </c>
      <c r="L14" s="33">
        <v>0</v>
      </c>
      <c r="M14" s="33">
        <v>0</v>
      </c>
      <c r="N14" s="33">
        <v>0</v>
      </c>
      <c r="O14" s="33">
        <v>2</v>
      </c>
      <c r="P14" s="33">
        <v>2</v>
      </c>
      <c r="Q14" s="33">
        <v>0</v>
      </c>
      <c r="R14" s="33">
        <v>2</v>
      </c>
      <c r="S14" s="33">
        <v>2</v>
      </c>
      <c r="T14" s="33">
        <v>2</v>
      </c>
      <c r="U14" s="33">
        <v>0</v>
      </c>
      <c r="V14" s="33">
        <v>0</v>
      </c>
      <c r="W14" s="33">
        <v>0</v>
      </c>
      <c r="X14" s="33">
        <v>0</v>
      </c>
      <c r="Y14" s="33">
        <v>0</v>
      </c>
      <c r="Z14" s="33">
        <v>0</v>
      </c>
      <c r="AA14" s="33">
        <v>0</v>
      </c>
      <c r="AB14" s="33">
        <v>0</v>
      </c>
      <c r="AC14" s="33">
        <v>0</v>
      </c>
      <c r="AD14" s="33">
        <v>0</v>
      </c>
      <c r="AE14" s="33">
        <v>0</v>
      </c>
      <c r="AF14" s="33">
        <v>0</v>
      </c>
      <c r="AG14" s="21"/>
    </row>
    <row r="15" spans="1:33" ht="13.5" customHeight="1" x14ac:dyDescent="0.3">
      <c r="A15" s="21"/>
      <c r="B15" s="28" t="s">
        <v>155</v>
      </c>
      <c r="C15" s="29"/>
      <c r="D15" s="30" t="s">
        <v>156</v>
      </c>
      <c r="E15" s="31" t="s">
        <v>151</v>
      </c>
      <c r="F15" s="29" t="s">
        <v>137</v>
      </c>
      <c r="G15" s="29">
        <v>10</v>
      </c>
      <c r="H15" s="32">
        <v>10</v>
      </c>
      <c r="I15" s="32">
        <f t="shared" si="0"/>
        <v>0</v>
      </c>
      <c r="J15" s="32">
        <v>12</v>
      </c>
      <c r="K15" s="32">
        <f t="shared" si="1"/>
        <v>2</v>
      </c>
      <c r="L15" s="33">
        <v>0</v>
      </c>
      <c r="M15" s="33">
        <v>0</v>
      </c>
      <c r="N15" s="33">
        <v>2</v>
      </c>
      <c r="O15" s="33">
        <v>0</v>
      </c>
      <c r="P15" s="33">
        <v>2</v>
      </c>
      <c r="Q15" s="33">
        <v>2</v>
      </c>
      <c r="R15" s="33">
        <v>2</v>
      </c>
      <c r="S15" s="33">
        <v>2</v>
      </c>
      <c r="T15" s="33">
        <v>0</v>
      </c>
      <c r="U15" s="33">
        <v>0</v>
      </c>
      <c r="V15" s="33">
        <v>0</v>
      </c>
      <c r="W15" s="33">
        <v>0</v>
      </c>
      <c r="X15" s="33">
        <v>0</v>
      </c>
      <c r="Y15" s="33">
        <v>0</v>
      </c>
      <c r="Z15" s="33">
        <v>0</v>
      </c>
      <c r="AA15" s="33">
        <v>0</v>
      </c>
      <c r="AB15" s="33">
        <v>0</v>
      </c>
      <c r="AC15" s="33">
        <v>0</v>
      </c>
      <c r="AD15" s="33">
        <v>0</v>
      </c>
      <c r="AE15" s="33">
        <v>0</v>
      </c>
      <c r="AF15" s="33">
        <v>0</v>
      </c>
      <c r="AG15" s="21"/>
    </row>
    <row r="16" spans="1:33" ht="13.5" customHeight="1" x14ac:dyDescent="0.3">
      <c r="A16" s="21"/>
      <c r="B16" s="28" t="s">
        <v>157</v>
      </c>
      <c r="C16" s="29"/>
      <c r="D16" s="30" t="s">
        <v>158</v>
      </c>
      <c r="E16" s="31" t="s">
        <v>136</v>
      </c>
      <c r="F16" s="29" t="s">
        <v>137</v>
      </c>
      <c r="G16" s="29">
        <v>10</v>
      </c>
      <c r="H16" s="32">
        <v>10</v>
      </c>
      <c r="I16" s="32">
        <f t="shared" si="0"/>
        <v>0</v>
      </c>
      <c r="J16" s="32">
        <v>10</v>
      </c>
      <c r="K16" s="32">
        <f t="shared" si="1"/>
        <v>0</v>
      </c>
      <c r="L16" s="33">
        <v>0</v>
      </c>
      <c r="M16" s="33">
        <v>0</v>
      </c>
      <c r="N16" s="33">
        <v>0</v>
      </c>
      <c r="O16" s="33">
        <v>2</v>
      </c>
      <c r="P16" s="33">
        <v>2</v>
      </c>
      <c r="Q16" s="33">
        <v>2</v>
      </c>
      <c r="R16" s="33">
        <v>2</v>
      </c>
      <c r="S16" s="33">
        <v>2</v>
      </c>
      <c r="T16" s="33">
        <v>0</v>
      </c>
      <c r="U16" s="33">
        <v>0</v>
      </c>
      <c r="V16" s="33">
        <v>0</v>
      </c>
      <c r="W16" s="33">
        <v>0</v>
      </c>
      <c r="X16" s="33">
        <v>0</v>
      </c>
      <c r="Y16" s="33">
        <v>0</v>
      </c>
      <c r="Z16" s="33">
        <v>0</v>
      </c>
      <c r="AA16" s="33">
        <v>0</v>
      </c>
      <c r="AB16" s="33">
        <v>0</v>
      </c>
      <c r="AC16" s="33">
        <v>0</v>
      </c>
      <c r="AD16" s="33">
        <v>0</v>
      </c>
      <c r="AE16" s="33">
        <v>0</v>
      </c>
      <c r="AF16" s="33">
        <v>0</v>
      </c>
      <c r="AG16" s="21"/>
    </row>
    <row r="17" spans="1:33" ht="13.5" customHeight="1" x14ac:dyDescent="0.3">
      <c r="A17" s="21"/>
      <c r="B17" s="28" t="s">
        <v>159</v>
      </c>
      <c r="C17" s="29"/>
      <c r="D17" s="30" t="s">
        <v>160</v>
      </c>
      <c r="E17" s="31" t="s">
        <v>154</v>
      </c>
      <c r="F17" s="29" t="s">
        <v>137</v>
      </c>
      <c r="G17" s="29">
        <v>5</v>
      </c>
      <c r="H17" s="32">
        <v>5</v>
      </c>
      <c r="I17" s="32">
        <f t="shared" si="0"/>
        <v>0</v>
      </c>
      <c r="J17" s="32">
        <v>8</v>
      </c>
      <c r="K17" s="32">
        <f t="shared" si="1"/>
        <v>3</v>
      </c>
      <c r="L17" s="33">
        <v>0</v>
      </c>
      <c r="M17" s="33">
        <v>1</v>
      </c>
      <c r="N17" s="33">
        <v>1</v>
      </c>
      <c r="O17" s="33">
        <v>0</v>
      </c>
      <c r="P17" s="33">
        <v>1</v>
      </c>
      <c r="Q17" s="33">
        <v>1</v>
      </c>
      <c r="R17" s="33">
        <v>1</v>
      </c>
      <c r="S17" s="33">
        <v>0</v>
      </c>
      <c r="T17" s="33">
        <v>0</v>
      </c>
      <c r="U17" s="33">
        <v>0</v>
      </c>
      <c r="V17" s="33">
        <v>0</v>
      </c>
      <c r="W17" s="33">
        <v>0</v>
      </c>
      <c r="X17" s="33">
        <v>0</v>
      </c>
      <c r="Y17" s="33">
        <v>0</v>
      </c>
      <c r="Z17" s="33">
        <v>0</v>
      </c>
      <c r="AA17" s="33">
        <v>0</v>
      </c>
      <c r="AB17" s="33">
        <v>0</v>
      </c>
      <c r="AC17" s="33">
        <v>0</v>
      </c>
      <c r="AD17" s="33">
        <v>0</v>
      </c>
      <c r="AE17" s="33">
        <v>0</v>
      </c>
      <c r="AF17" s="33">
        <v>0</v>
      </c>
      <c r="AG17" s="21"/>
    </row>
    <row r="18" spans="1:33" ht="13.5" customHeight="1" x14ac:dyDescent="0.3">
      <c r="A18" s="21"/>
      <c r="B18" s="28" t="s">
        <v>161</v>
      </c>
      <c r="C18" s="29"/>
      <c r="D18" s="30" t="s">
        <v>162</v>
      </c>
      <c r="E18" s="183" t="s">
        <v>154</v>
      </c>
      <c r="F18" s="29" t="s">
        <v>137</v>
      </c>
      <c r="G18" s="29">
        <v>2</v>
      </c>
      <c r="H18" s="32">
        <v>3</v>
      </c>
      <c r="I18" s="32">
        <f t="shared" si="0"/>
        <v>-1</v>
      </c>
      <c r="J18" s="32">
        <v>5</v>
      </c>
      <c r="K18" s="32">
        <f t="shared" si="1"/>
        <v>3</v>
      </c>
      <c r="L18" s="33">
        <v>0</v>
      </c>
      <c r="M18" s="33">
        <v>0</v>
      </c>
      <c r="N18" s="33">
        <v>1</v>
      </c>
      <c r="O18" s="33">
        <v>1</v>
      </c>
      <c r="P18" s="33">
        <v>1</v>
      </c>
      <c r="Q18" s="33">
        <v>0</v>
      </c>
      <c r="R18" s="33">
        <v>0</v>
      </c>
      <c r="S18" s="33">
        <v>0</v>
      </c>
      <c r="T18" s="33">
        <v>0</v>
      </c>
      <c r="U18" s="33">
        <v>0</v>
      </c>
      <c r="V18" s="33">
        <v>0</v>
      </c>
      <c r="W18" s="33">
        <v>0</v>
      </c>
      <c r="X18" s="33">
        <v>0</v>
      </c>
      <c r="Y18" s="33">
        <v>0</v>
      </c>
      <c r="Z18" s="33">
        <v>0</v>
      </c>
      <c r="AA18" s="33">
        <v>0</v>
      </c>
      <c r="AB18" s="33">
        <v>0</v>
      </c>
      <c r="AC18" s="33">
        <v>0</v>
      </c>
      <c r="AD18" s="33">
        <v>0</v>
      </c>
      <c r="AE18" s="33">
        <v>0</v>
      </c>
      <c r="AF18" s="33">
        <v>0</v>
      </c>
      <c r="AG18" s="21"/>
    </row>
    <row r="19" spans="1:33" ht="13.5" customHeight="1" x14ac:dyDescent="0.3">
      <c r="A19" s="21"/>
      <c r="B19" s="28" t="s">
        <v>163</v>
      </c>
      <c r="C19" s="29"/>
      <c r="D19" s="30" t="s">
        <v>164</v>
      </c>
      <c r="E19" s="183" t="s">
        <v>146</v>
      </c>
      <c r="F19" s="29" t="s">
        <v>137</v>
      </c>
      <c r="G19" s="29">
        <v>3</v>
      </c>
      <c r="H19" s="32">
        <v>3</v>
      </c>
      <c r="I19" s="32">
        <f t="shared" si="0"/>
        <v>0</v>
      </c>
      <c r="J19" s="32">
        <v>5</v>
      </c>
      <c r="K19" s="32">
        <f t="shared" si="1"/>
        <v>2</v>
      </c>
      <c r="L19" s="33">
        <v>0</v>
      </c>
      <c r="M19" s="33">
        <v>0</v>
      </c>
      <c r="N19" s="33">
        <v>0</v>
      </c>
      <c r="O19" s="33">
        <v>1</v>
      </c>
      <c r="P19" s="33">
        <v>1</v>
      </c>
      <c r="Q19" s="33">
        <v>1</v>
      </c>
      <c r="R19" s="33">
        <v>0</v>
      </c>
      <c r="S19" s="33">
        <v>0</v>
      </c>
      <c r="T19" s="33">
        <v>0</v>
      </c>
      <c r="U19" s="33">
        <v>0</v>
      </c>
      <c r="V19" s="33">
        <v>0</v>
      </c>
      <c r="W19" s="33">
        <v>0</v>
      </c>
      <c r="X19" s="33">
        <v>0</v>
      </c>
      <c r="Y19" s="33">
        <v>0</v>
      </c>
      <c r="Z19" s="33">
        <v>0</v>
      </c>
      <c r="AA19" s="33">
        <v>0</v>
      </c>
      <c r="AB19" s="33">
        <v>0</v>
      </c>
      <c r="AC19" s="33">
        <v>0</v>
      </c>
      <c r="AD19" s="33">
        <v>0</v>
      </c>
      <c r="AE19" s="33">
        <v>0</v>
      </c>
      <c r="AF19" s="33">
        <v>0</v>
      </c>
      <c r="AG19" s="21"/>
    </row>
    <row r="20" spans="1:33" ht="13.5" customHeight="1" x14ac:dyDescent="0.3">
      <c r="A20" s="21"/>
      <c r="B20" s="28" t="s">
        <v>165</v>
      </c>
      <c r="C20" s="29"/>
      <c r="D20" s="35" t="s">
        <v>166</v>
      </c>
      <c r="E20" s="29" t="s">
        <v>151</v>
      </c>
      <c r="F20" s="29" t="s">
        <v>137</v>
      </c>
      <c r="G20" s="29">
        <v>10</v>
      </c>
      <c r="H20" s="32">
        <v>10</v>
      </c>
      <c r="I20" s="32">
        <f t="shared" si="0"/>
        <v>0</v>
      </c>
      <c r="J20" s="32">
        <v>10</v>
      </c>
      <c r="K20" s="32">
        <f t="shared" si="1"/>
        <v>0</v>
      </c>
      <c r="L20" s="33">
        <v>0</v>
      </c>
      <c r="M20" s="33">
        <v>0</v>
      </c>
      <c r="N20" s="33">
        <v>0</v>
      </c>
      <c r="O20" s="33">
        <v>0</v>
      </c>
      <c r="P20" s="33">
        <v>2</v>
      </c>
      <c r="Q20" s="33">
        <v>2</v>
      </c>
      <c r="R20" s="33">
        <v>2</v>
      </c>
      <c r="S20" s="33">
        <v>2</v>
      </c>
      <c r="T20" s="33">
        <v>2</v>
      </c>
      <c r="U20" s="33">
        <v>0</v>
      </c>
      <c r="V20" s="33">
        <v>0</v>
      </c>
      <c r="W20" s="33">
        <v>0</v>
      </c>
      <c r="X20" s="33">
        <v>0</v>
      </c>
      <c r="Y20" s="33">
        <v>0</v>
      </c>
      <c r="Z20" s="33">
        <v>0</v>
      </c>
      <c r="AA20" s="33">
        <v>0</v>
      </c>
      <c r="AB20" s="33">
        <v>0</v>
      </c>
      <c r="AC20" s="33">
        <v>0</v>
      </c>
      <c r="AD20" s="33">
        <v>0</v>
      </c>
      <c r="AE20" s="33">
        <v>0</v>
      </c>
      <c r="AF20" s="33">
        <v>0</v>
      </c>
      <c r="AG20" s="21"/>
    </row>
    <row r="21" spans="1:33" ht="13.5" customHeight="1" x14ac:dyDescent="0.3">
      <c r="A21" s="21"/>
      <c r="B21" s="36"/>
      <c r="C21" s="37"/>
      <c r="D21" s="38"/>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21"/>
    </row>
    <row r="22" spans="1:33" ht="13.5" customHeight="1" x14ac:dyDescent="0.3">
      <c r="A22" s="21"/>
      <c r="B22" s="28" t="s">
        <v>167</v>
      </c>
      <c r="C22" s="39" t="s">
        <v>33</v>
      </c>
      <c r="D22" s="40" t="s">
        <v>168</v>
      </c>
      <c r="E22" s="172" t="s">
        <v>146</v>
      </c>
      <c r="F22" s="29" t="s">
        <v>137</v>
      </c>
      <c r="G22" s="29">
        <v>5</v>
      </c>
      <c r="H22" s="32">
        <v>5</v>
      </c>
      <c r="I22" s="32">
        <f t="shared" ref="I22:I35" si="2">G22-H22</f>
        <v>0</v>
      </c>
      <c r="J22" s="32">
        <v>7</v>
      </c>
      <c r="K22" s="32">
        <f t="shared" ref="K22:K35" si="3">SUM(J22-G22)</f>
        <v>2</v>
      </c>
      <c r="L22" s="33">
        <v>0</v>
      </c>
      <c r="M22" s="33">
        <v>0</v>
      </c>
      <c r="N22" s="33">
        <v>0</v>
      </c>
      <c r="O22" s="33">
        <v>0</v>
      </c>
      <c r="P22" s="33">
        <v>0</v>
      </c>
      <c r="Q22" s="33">
        <v>0</v>
      </c>
      <c r="R22" s="33">
        <v>1</v>
      </c>
      <c r="S22" s="33">
        <v>1</v>
      </c>
      <c r="T22" s="33">
        <v>2</v>
      </c>
      <c r="U22" s="33">
        <v>1</v>
      </c>
      <c r="V22" s="33">
        <v>0</v>
      </c>
      <c r="W22" s="33">
        <v>0</v>
      </c>
      <c r="X22" s="33">
        <v>0</v>
      </c>
      <c r="Y22" s="33">
        <v>0</v>
      </c>
      <c r="Z22" s="33">
        <v>0</v>
      </c>
      <c r="AA22" s="33">
        <v>0</v>
      </c>
      <c r="AB22" s="33">
        <v>0</v>
      </c>
      <c r="AC22" s="33">
        <v>0</v>
      </c>
      <c r="AD22" s="33">
        <v>0</v>
      </c>
      <c r="AE22" s="33">
        <v>0</v>
      </c>
      <c r="AF22" s="33">
        <v>0</v>
      </c>
      <c r="AG22" s="21"/>
    </row>
    <row r="23" spans="1:33" ht="13.5" customHeight="1" x14ac:dyDescent="0.3">
      <c r="A23" s="21"/>
      <c r="B23" s="28" t="s">
        <v>169</v>
      </c>
      <c r="C23" s="39" t="s">
        <v>36</v>
      </c>
      <c r="D23" s="40" t="s">
        <v>170</v>
      </c>
      <c r="E23" s="172" t="s">
        <v>146</v>
      </c>
      <c r="F23" s="29" t="s">
        <v>137</v>
      </c>
      <c r="G23" s="29">
        <v>5</v>
      </c>
      <c r="H23" s="32">
        <v>5</v>
      </c>
      <c r="I23" s="32">
        <f t="shared" si="2"/>
        <v>0</v>
      </c>
      <c r="J23" s="32">
        <v>5</v>
      </c>
      <c r="K23" s="32">
        <f t="shared" si="3"/>
        <v>0</v>
      </c>
      <c r="L23" s="33">
        <v>0</v>
      </c>
      <c r="M23" s="33">
        <v>0</v>
      </c>
      <c r="N23" s="33">
        <v>0</v>
      </c>
      <c r="O23" s="33">
        <v>0</v>
      </c>
      <c r="P23" s="33">
        <v>0</v>
      </c>
      <c r="Q23" s="33">
        <v>0</v>
      </c>
      <c r="R23" s="33">
        <v>2</v>
      </c>
      <c r="S23" s="33">
        <v>2</v>
      </c>
      <c r="T23" s="33">
        <v>1</v>
      </c>
      <c r="U23" s="33">
        <v>0</v>
      </c>
      <c r="V23" s="33">
        <v>0</v>
      </c>
      <c r="W23" s="33">
        <v>0</v>
      </c>
      <c r="X23" s="33">
        <v>0</v>
      </c>
      <c r="Y23" s="33">
        <v>0</v>
      </c>
      <c r="Z23" s="33">
        <v>0</v>
      </c>
      <c r="AA23" s="33">
        <v>0</v>
      </c>
      <c r="AB23" s="33">
        <v>0</v>
      </c>
      <c r="AC23" s="33">
        <v>0</v>
      </c>
      <c r="AD23" s="33">
        <v>0</v>
      </c>
      <c r="AE23" s="33">
        <v>0</v>
      </c>
      <c r="AF23" s="33">
        <v>0</v>
      </c>
      <c r="AG23" s="21"/>
    </row>
    <row r="24" spans="1:33" ht="13.5" customHeight="1" x14ac:dyDescent="0.3">
      <c r="A24" s="21"/>
      <c r="B24" s="28" t="s">
        <v>171</v>
      </c>
      <c r="C24" s="39" t="s">
        <v>39</v>
      </c>
      <c r="D24" s="173" t="s">
        <v>174</v>
      </c>
      <c r="E24" s="172" t="s">
        <v>154</v>
      </c>
      <c r="F24" s="29" t="s">
        <v>137</v>
      </c>
      <c r="G24" s="29">
        <v>5</v>
      </c>
      <c r="H24" s="32">
        <v>5</v>
      </c>
      <c r="I24" s="32">
        <f t="shared" si="2"/>
        <v>0</v>
      </c>
      <c r="J24" s="32">
        <v>8</v>
      </c>
      <c r="K24" s="32">
        <f t="shared" si="3"/>
        <v>3</v>
      </c>
      <c r="L24" s="33">
        <v>0</v>
      </c>
      <c r="M24" s="33">
        <v>0</v>
      </c>
      <c r="N24" s="33">
        <v>0</v>
      </c>
      <c r="O24" s="33">
        <v>0</v>
      </c>
      <c r="P24" s="33">
        <v>0</v>
      </c>
      <c r="Q24" s="33">
        <v>0</v>
      </c>
      <c r="R24" s="33">
        <v>2</v>
      </c>
      <c r="S24" s="33">
        <v>2</v>
      </c>
      <c r="T24" s="33">
        <v>1</v>
      </c>
      <c r="U24" s="33">
        <v>0</v>
      </c>
      <c r="V24" s="33">
        <v>0</v>
      </c>
      <c r="W24" s="33">
        <v>0</v>
      </c>
      <c r="X24" s="33">
        <v>0</v>
      </c>
      <c r="Y24" s="33">
        <v>0</v>
      </c>
      <c r="Z24" s="33">
        <v>0</v>
      </c>
      <c r="AA24" s="33">
        <v>0</v>
      </c>
      <c r="AB24" s="33">
        <v>0</v>
      </c>
      <c r="AC24" s="33">
        <v>0</v>
      </c>
      <c r="AD24" s="33">
        <v>0</v>
      </c>
      <c r="AE24" s="33">
        <v>0</v>
      </c>
      <c r="AF24" s="33">
        <v>0</v>
      </c>
      <c r="AG24" s="21"/>
    </row>
    <row r="25" spans="1:33" ht="13.5" customHeight="1" x14ac:dyDescent="0.3">
      <c r="A25" s="21"/>
      <c r="B25" s="28" t="s">
        <v>172</v>
      </c>
      <c r="C25" s="39" t="s">
        <v>40</v>
      </c>
      <c r="D25" s="173" t="s">
        <v>562</v>
      </c>
      <c r="E25" s="172" t="s">
        <v>154</v>
      </c>
      <c r="F25" s="29" t="s">
        <v>137</v>
      </c>
      <c r="G25" s="29">
        <v>5</v>
      </c>
      <c r="H25" s="32">
        <v>5</v>
      </c>
      <c r="I25" s="32">
        <f t="shared" si="2"/>
        <v>0</v>
      </c>
      <c r="J25" s="32">
        <v>7</v>
      </c>
      <c r="K25" s="32">
        <f t="shared" si="3"/>
        <v>2</v>
      </c>
      <c r="L25" s="33">
        <v>0</v>
      </c>
      <c r="M25" s="33">
        <v>0</v>
      </c>
      <c r="N25" s="33">
        <v>0</v>
      </c>
      <c r="O25" s="33">
        <v>0</v>
      </c>
      <c r="P25" s="33">
        <v>0</v>
      </c>
      <c r="Q25" s="33">
        <v>0</v>
      </c>
      <c r="R25" s="33">
        <v>2</v>
      </c>
      <c r="S25" s="33">
        <v>2</v>
      </c>
      <c r="T25" s="33">
        <v>1</v>
      </c>
      <c r="U25" s="33">
        <v>0</v>
      </c>
      <c r="V25" s="33">
        <v>0</v>
      </c>
      <c r="W25" s="33">
        <v>0</v>
      </c>
      <c r="X25" s="33">
        <v>0</v>
      </c>
      <c r="Y25" s="33">
        <v>0</v>
      </c>
      <c r="Z25" s="33">
        <v>0</v>
      </c>
      <c r="AA25" s="33">
        <v>0</v>
      </c>
      <c r="AB25" s="33">
        <v>0</v>
      </c>
      <c r="AC25" s="33">
        <v>0</v>
      </c>
      <c r="AD25" s="33">
        <v>0</v>
      </c>
      <c r="AE25" s="33">
        <v>0</v>
      </c>
      <c r="AF25" s="33">
        <v>0</v>
      </c>
      <c r="AG25" s="21"/>
    </row>
    <row r="26" spans="1:33" ht="13.5" customHeight="1" x14ac:dyDescent="0.3">
      <c r="A26" s="21"/>
      <c r="B26" s="28" t="s">
        <v>173</v>
      </c>
      <c r="C26" s="39" t="s">
        <v>43</v>
      </c>
      <c r="D26" s="173" t="s">
        <v>563</v>
      </c>
      <c r="E26" s="172" t="s">
        <v>143</v>
      </c>
      <c r="F26" s="29" t="s">
        <v>137</v>
      </c>
      <c r="G26" s="29">
        <v>5</v>
      </c>
      <c r="H26" s="32"/>
      <c r="I26" s="32"/>
      <c r="J26" s="32"/>
      <c r="K26" s="32"/>
      <c r="L26" s="33"/>
      <c r="M26" s="33"/>
      <c r="N26" s="33"/>
      <c r="O26" s="33"/>
      <c r="P26" s="33"/>
      <c r="Q26" s="33"/>
      <c r="R26" s="33">
        <v>2</v>
      </c>
      <c r="S26" s="33">
        <v>2</v>
      </c>
      <c r="T26" s="33">
        <v>1</v>
      </c>
      <c r="U26" s="33"/>
      <c r="V26" s="33"/>
      <c r="W26" s="33"/>
      <c r="X26" s="33"/>
      <c r="Y26" s="33"/>
      <c r="Z26" s="33"/>
      <c r="AA26" s="33"/>
      <c r="AB26" s="33"/>
      <c r="AC26" s="33"/>
      <c r="AD26" s="33"/>
      <c r="AE26" s="33"/>
      <c r="AF26" s="33"/>
      <c r="AG26" s="21"/>
    </row>
    <row r="27" spans="1:33" ht="13.5" customHeight="1" x14ac:dyDescent="0.3">
      <c r="A27" s="21"/>
      <c r="B27" s="28" t="s">
        <v>175</v>
      </c>
      <c r="C27" s="39" t="s">
        <v>46</v>
      </c>
      <c r="D27" s="173" t="s">
        <v>566</v>
      </c>
      <c r="E27" s="172" t="s">
        <v>146</v>
      </c>
      <c r="F27" s="29" t="s">
        <v>137</v>
      </c>
      <c r="G27" s="29">
        <v>5</v>
      </c>
      <c r="H27" s="32"/>
      <c r="I27" s="32"/>
      <c r="J27" s="32"/>
      <c r="K27" s="32"/>
      <c r="L27" s="33"/>
      <c r="M27" s="33"/>
      <c r="N27" s="33"/>
      <c r="O27" s="33"/>
      <c r="P27" s="33"/>
      <c r="Q27" s="33"/>
      <c r="R27" s="33">
        <v>1</v>
      </c>
      <c r="S27" s="33">
        <v>2</v>
      </c>
      <c r="T27" s="33">
        <v>1</v>
      </c>
      <c r="U27" s="33">
        <v>1</v>
      </c>
      <c r="V27" s="33"/>
      <c r="W27" s="33"/>
      <c r="X27" s="33"/>
      <c r="Y27" s="33"/>
      <c r="Z27" s="33"/>
      <c r="AA27" s="33"/>
      <c r="AB27" s="33"/>
      <c r="AC27" s="33"/>
      <c r="AD27" s="33"/>
      <c r="AE27" s="33"/>
      <c r="AF27" s="33"/>
      <c r="AG27" s="21"/>
    </row>
    <row r="28" spans="1:33" ht="13.5" customHeight="1" x14ac:dyDescent="0.3">
      <c r="A28" s="21"/>
      <c r="B28" s="28" t="s">
        <v>177</v>
      </c>
      <c r="C28" s="39" t="s">
        <v>47</v>
      </c>
      <c r="D28" s="173" t="s">
        <v>564</v>
      </c>
      <c r="E28" s="172" t="s">
        <v>151</v>
      </c>
      <c r="F28" s="29" t="s">
        <v>137</v>
      </c>
      <c r="G28" s="29">
        <v>5</v>
      </c>
      <c r="H28" s="32"/>
      <c r="I28" s="32"/>
      <c r="J28" s="32"/>
      <c r="K28" s="32"/>
      <c r="L28" s="33"/>
      <c r="M28" s="33"/>
      <c r="N28" s="33"/>
      <c r="O28" s="33"/>
      <c r="P28" s="33"/>
      <c r="Q28" s="33"/>
      <c r="R28" s="33">
        <v>2</v>
      </c>
      <c r="S28" s="33">
        <v>2</v>
      </c>
      <c r="T28" s="33">
        <v>1</v>
      </c>
      <c r="U28" s="33"/>
      <c r="V28" s="33"/>
      <c r="W28" s="33"/>
      <c r="X28" s="33"/>
      <c r="Y28" s="33"/>
      <c r="Z28" s="33"/>
      <c r="AA28" s="33"/>
      <c r="AB28" s="33"/>
      <c r="AC28" s="33"/>
      <c r="AD28" s="33"/>
      <c r="AE28" s="33"/>
      <c r="AF28" s="33"/>
      <c r="AG28" s="21"/>
    </row>
    <row r="29" spans="1:33" ht="13.5" customHeight="1" x14ac:dyDescent="0.3">
      <c r="A29" s="21"/>
      <c r="B29" s="28" t="s">
        <v>179</v>
      </c>
      <c r="C29" s="39" t="s">
        <v>48</v>
      </c>
      <c r="D29" s="173" t="s">
        <v>565</v>
      </c>
      <c r="E29" s="172" t="s">
        <v>136</v>
      </c>
      <c r="F29" s="29" t="s">
        <v>137</v>
      </c>
      <c r="G29" s="29">
        <v>5</v>
      </c>
      <c r="H29" s="32"/>
      <c r="I29" s="32"/>
      <c r="J29" s="32"/>
      <c r="K29" s="32"/>
      <c r="L29" s="33"/>
      <c r="M29" s="33"/>
      <c r="N29" s="33"/>
      <c r="O29" s="33"/>
      <c r="P29" s="33"/>
      <c r="Q29" s="33"/>
      <c r="R29" s="33">
        <v>2</v>
      </c>
      <c r="S29" s="33">
        <v>2</v>
      </c>
      <c r="T29" s="33">
        <v>1</v>
      </c>
      <c r="U29" s="33"/>
      <c r="V29" s="33"/>
      <c r="W29" s="33"/>
      <c r="X29" s="33"/>
      <c r="Y29" s="33"/>
      <c r="Z29" s="33"/>
      <c r="AA29" s="33"/>
      <c r="AB29" s="33"/>
      <c r="AC29" s="33"/>
      <c r="AD29" s="33"/>
      <c r="AE29" s="33"/>
      <c r="AF29" s="33"/>
      <c r="AG29" s="21"/>
    </row>
    <row r="30" spans="1:33" ht="13.5" customHeight="1" x14ac:dyDescent="0.3">
      <c r="A30" s="21"/>
      <c r="B30" s="28" t="s">
        <v>180</v>
      </c>
      <c r="C30" s="39" t="s">
        <v>49</v>
      </c>
      <c r="D30" s="40" t="s">
        <v>176</v>
      </c>
      <c r="E30" s="172" t="s">
        <v>471</v>
      </c>
      <c r="F30" s="29" t="s">
        <v>137</v>
      </c>
      <c r="G30" s="29">
        <v>5</v>
      </c>
      <c r="H30" s="32">
        <v>5</v>
      </c>
      <c r="I30" s="32">
        <f t="shared" si="2"/>
        <v>0</v>
      </c>
      <c r="J30" s="32">
        <v>6</v>
      </c>
      <c r="K30" s="32">
        <f t="shared" si="3"/>
        <v>1</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v>0</v>
      </c>
      <c r="AD30" s="33">
        <v>0</v>
      </c>
      <c r="AE30" s="33">
        <v>0</v>
      </c>
      <c r="AF30" s="33">
        <v>0</v>
      </c>
      <c r="AG30" s="21"/>
    </row>
    <row r="31" spans="1:33" ht="13.5" customHeight="1" x14ac:dyDescent="0.3">
      <c r="A31" s="21"/>
      <c r="B31" s="28" t="s">
        <v>182</v>
      </c>
      <c r="C31" s="39" t="s">
        <v>51</v>
      </c>
      <c r="D31" s="40" t="s">
        <v>178</v>
      </c>
      <c r="E31" s="172" t="s">
        <v>154</v>
      </c>
      <c r="F31" s="29" t="s">
        <v>137</v>
      </c>
      <c r="G31" s="29">
        <v>5</v>
      </c>
      <c r="H31" s="32">
        <v>5</v>
      </c>
      <c r="I31" s="32">
        <f t="shared" si="2"/>
        <v>0</v>
      </c>
      <c r="J31" s="32">
        <v>7</v>
      </c>
      <c r="K31" s="32">
        <f t="shared" si="3"/>
        <v>2</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v>0</v>
      </c>
      <c r="AD31" s="33">
        <v>0</v>
      </c>
      <c r="AE31" s="33">
        <v>0</v>
      </c>
      <c r="AF31" s="33">
        <v>0</v>
      </c>
      <c r="AG31" s="21"/>
    </row>
    <row r="32" spans="1:33" ht="13.5" customHeight="1" x14ac:dyDescent="0.3">
      <c r="A32" s="21"/>
      <c r="B32" s="28" t="s">
        <v>183</v>
      </c>
      <c r="C32" s="39" t="s">
        <v>52</v>
      </c>
      <c r="D32" s="174" t="s">
        <v>181</v>
      </c>
      <c r="E32" s="172" t="s">
        <v>154</v>
      </c>
      <c r="F32" s="29" t="s">
        <v>137</v>
      </c>
      <c r="G32" s="29">
        <v>5</v>
      </c>
      <c r="H32" s="32"/>
      <c r="I32" s="32"/>
      <c r="J32" s="32"/>
      <c r="K32" s="32"/>
      <c r="L32" s="33"/>
      <c r="M32" s="33"/>
      <c r="N32" s="33"/>
      <c r="O32" s="33"/>
      <c r="P32" s="33"/>
      <c r="Q32" s="33"/>
      <c r="R32" s="33"/>
      <c r="S32" s="33"/>
      <c r="T32" s="33"/>
      <c r="U32" s="33">
        <v>1</v>
      </c>
      <c r="V32" s="33">
        <v>1</v>
      </c>
      <c r="W32" s="33">
        <v>1</v>
      </c>
      <c r="X32" s="33">
        <v>1</v>
      </c>
      <c r="Y32" s="33">
        <v>1</v>
      </c>
      <c r="Z32" s="33"/>
      <c r="AA32" s="33"/>
      <c r="AB32" s="33"/>
      <c r="AC32" s="33"/>
      <c r="AD32" s="33"/>
      <c r="AE32" s="33"/>
      <c r="AF32" s="33"/>
      <c r="AG32" s="21"/>
    </row>
    <row r="33" spans="1:33" ht="13.5" customHeight="1" x14ac:dyDescent="0.3">
      <c r="A33" s="21"/>
      <c r="B33" s="28" t="s">
        <v>184</v>
      </c>
      <c r="C33" s="39" t="s">
        <v>53</v>
      </c>
      <c r="D33" s="174" t="s">
        <v>567</v>
      </c>
      <c r="E33" s="172" t="s">
        <v>154</v>
      </c>
      <c r="F33" s="29" t="s">
        <v>137</v>
      </c>
      <c r="G33" s="29">
        <v>5</v>
      </c>
      <c r="H33" s="32"/>
      <c r="I33" s="32"/>
      <c r="J33" s="32"/>
      <c r="K33" s="32"/>
      <c r="L33" s="33"/>
      <c r="M33" s="33"/>
      <c r="N33" s="33"/>
      <c r="O33" s="33"/>
      <c r="P33" s="33"/>
      <c r="Q33" s="33"/>
      <c r="R33" s="33"/>
      <c r="S33" s="33"/>
      <c r="T33" s="33"/>
      <c r="U33" s="33">
        <v>1</v>
      </c>
      <c r="V33" s="33">
        <v>1</v>
      </c>
      <c r="W33" s="33">
        <v>1</v>
      </c>
      <c r="X33" s="33">
        <v>1</v>
      </c>
      <c r="Y33" s="33">
        <v>1</v>
      </c>
      <c r="Z33" s="33"/>
      <c r="AA33" s="33"/>
      <c r="AB33" s="33"/>
      <c r="AC33" s="33"/>
      <c r="AD33" s="33"/>
      <c r="AE33" s="33"/>
      <c r="AF33" s="33"/>
      <c r="AG33" s="21"/>
    </row>
    <row r="34" spans="1:33" ht="13.5" customHeight="1" x14ac:dyDescent="0.3">
      <c r="A34" s="21"/>
      <c r="B34" s="28" t="s">
        <v>186</v>
      </c>
      <c r="C34" s="39" t="s">
        <v>54</v>
      </c>
      <c r="D34" s="174" t="s">
        <v>568</v>
      </c>
      <c r="E34" s="172" t="s">
        <v>143</v>
      </c>
      <c r="F34" s="29" t="s">
        <v>137</v>
      </c>
      <c r="G34" s="29">
        <v>5</v>
      </c>
      <c r="H34" s="32"/>
      <c r="I34" s="32"/>
      <c r="J34" s="32"/>
      <c r="K34" s="32"/>
      <c r="L34" s="33"/>
      <c r="M34" s="33"/>
      <c r="N34" s="33"/>
      <c r="O34" s="33"/>
      <c r="P34" s="33"/>
      <c r="Q34" s="33"/>
      <c r="R34" s="33"/>
      <c r="S34" s="33"/>
      <c r="T34" s="33"/>
      <c r="U34" s="33">
        <v>1</v>
      </c>
      <c r="V34" s="33">
        <v>1</v>
      </c>
      <c r="W34" s="33">
        <v>1</v>
      </c>
      <c r="X34" s="33">
        <v>1</v>
      </c>
      <c r="Y34" s="33">
        <v>1</v>
      </c>
      <c r="Z34" s="33"/>
      <c r="AA34" s="33"/>
      <c r="AB34" s="33"/>
      <c r="AC34" s="33"/>
      <c r="AD34" s="33"/>
      <c r="AE34" s="33"/>
      <c r="AF34" s="33"/>
      <c r="AG34" s="21"/>
    </row>
    <row r="35" spans="1:33" ht="13.2" customHeight="1" x14ac:dyDescent="0.3">
      <c r="A35" s="21"/>
      <c r="B35" s="28" t="s">
        <v>188</v>
      </c>
      <c r="C35" s="39" t="s">
        <v>55</v>
      </c>
      <c r="D35" s="174" t="s">
        <v>569</v>
      </c>
      <c r="E35" s="172" t="s">
        <v>146</v>
      </c>
      <c r="F35" s="29" t="s">
        <v>137</v>
      </c>
      <c r="G35" s="29">
        <v>5</v>
      </c>
      <c r="H35" s="32">
        <v>5</v>
      </c>
      <c r="I35" s="32">
        <f t="shared" si="2"/>
        <v>0</v>
      </c>
      <c r="J35" s="32">
        <v>4</v>
      </c>
      <c r="K35" s="32">
        <f t="shared" si="3"/>
        <v>-1</v>
      </c>
      <c r="L35" s="33">
        <v>0</v>
      </c>
      <c r="M35" s="33">
        <v>0</v>
      </c>
      <c r="N35" s="33">
        <v>0</v>
      </c>
      <c r="O35" s="33">
        <v>0</v>
      </c>
      <c r="P35" s="33">
        <v>0</v>
      </c>
      <c r="Q35" s="33">
        <v>0</v>
      </c>
      <c r="R35" s="33">
        <v>0</v>
      </c>
      <c r="S35" s="33">
        <v>0</v>
      </c>
      <c r="T35" s="33">
        <v>0</v>
      </c>
      <c r="U35" s="33">
        <v>1</v>
      </c>
      <c r="V35" s="33">
        <v>1</v>
      </c>
      <c r="W35" s="33">
        <v>1</v>
      </c>
      <c r="X35" s="33">
        <v>1</v>
      </c>
      <c r="Y35" s="33">
        <v>1</v>
      </c>
      <c r="Z35" s="33">
        <v>0</v>
      </c>
      <c r="AA35" s="33">
        <v>0</v>
      </c>
      <c r="AB35" s="33">
        <v>0</v>
      </c>
      <c r="AC35" s="33">
        <v>0</v>
      </c>
      <c r="AD35" s="33">
        <v>0</v>
      </c>
      <c r="AE35" s="33">
        <v>0</v>
      </c>
      <c r="AF35" s="33">
        <v>0</v>
      </c>
      <c r="AG35" s="21"/>
    </row>
    <row r="36" spans="1:33" ht="13.2" customHeight="1" x14ac:dyDescent="0.3">
      <c r="A36" s="21"/>
      <c r="B36" s="28" t="s">
        <v>190</v>
      </c>
      <c r="C36" s="39" t="s">
        <v>56</v>
      </c>
      <c r="D36" s="174" t="s">
        <v>570</v>
      </c>
      <c r="E36" s="172" t="s">
        <v>151</v>
      </c>
      <c r="F36" s="29" t="s">
        <v>137</v>
      </c>
      <c r="G36" s="29">
        <v>5</v>
      </c>
      <c r="H36" s="32"/>
      <c r="I36" s="32"/>
      <c r="J36" s="32"/>
      <c r="K36" s="32"/>
      <c r="L36" s="33"/>
      <c r="M36" s="33"/>
      <c r="N36" s="33"/>
      <c r="O36" s="33"/>
      <c r="P36" s="33"/>
      <c r="Q36" s="33"/>
      <c r="R36" s="33"/>
      <c r="S36" s="33"/>
      <c r="T36" s="33"/>
      <c r="U36" s="33">
        <v>1</v>
      </c>
      <c r="V36" s="33">
        <v>1</v>
      </c>
      <c r="W36" s="33">
        <v>1</v>
      </c>
      <c r="X36" s="33">
        <v>1</v>
      </c>
      <c r="Y36" s="33">
        <v>1</v>
      </c>
      <c r="Z36" s="33"/>
      <c r="AA36" s="33"/>
      <c r="AB36" s="33"/>
      <c r="AC36" s="33"/>
      <c r="AD36" s="33"/>
      <c r="AE36" s="33"/>
      <c r="AF36" s="33"/>
      <c r="AG36" s="21"/>
    </row>
    <row r="37" spans="1:33" ht="13.2" customHeight="1" x14ac:dyDescent="0.3">
      <c r="A37" s="21"/>
      <c r="B37" s="28" t="s">
        <v>192</v>
      </c>
      <c r="C37" s="39" t="s">
        <v>57</v>
      </c>
      <c r="D37" s="174" t="s">
        <v>766</v>
      </c>
      <c r="E37" s="172"/>
      <c r="F37" s="29"/>
      <c r="G37" s="29"/>
      <c r="H37" s="32"/>
      <c r="I37" s="32"/>
      <c r="J37" s="32"/>
      <c r="K37" s="32"/>
      <c r="L37" s="33"/>
      <c r="M37" s="33"/>
      <c r="N37" s="33"/>
      <c r="O37" s="33"/>
      <c r="P37" s="33"/>
      <c r="Q37" s="33"/>
      <c r="R37" s="33"/>
      <c r="S37" s="33"/>
      <c r="T37" s="33"/>
      <c r="U37" s="33"/>
      <c r="V37" s="33"/>
      <c r="W37" s="33"/>
      <c r="X37" s="33"/>
      <c r="Y37" s="33"/>
      <c r="Z37" s="33"/>
      <c r="AA37" s="33"/>
      <c r="AB37" s="33"/>
      <c r="AC37" s="33"/>
      <c r="AD37" s="33"/>
      <c r="AE37" s="33"/>
      <c r="AF37" s="33"/>
      <c r="AG37" s="21"/>
    </row>
    <row r="38" spans="1:33" ht="13.2" customHeight="1" x14ac:dyDescent="0.3">
      <c r="A38" s="21"/>
      <c r="B38" s="28" t="s">
        <v>193</v>
      </c>
      <c r="C38" s="39" t="s">
        <v>58</v>
      </c>
      <c r="D38" s="174" t="s">
        <v>767</v>
      </c>
      <c r="E38" s="172"/>
      <c r="F38" s="29"/>
      <c r="G38" s="29"/>
      <c r="H38" s="32"/>
      <c r="I38" s="32"/>
      <c r="J38" s="32"/>
      <c r="K38" s="32"/>
      <c r="L38" s="33"/>
      <c r="M38" s="33"/>
      <c r="N38" s="33"/>
      <c r="O38" s="33"/>
      <c r="P38" s="33"/>
      <c r="Q38" s="33"/>
      <c r="R38" s="33"/>
      <c r="S38" s="33"/>
      <c r="T38" s="33"/>
      <c r="U38" s="33"/>
      <c r="V38" s="33"/>
      <c r="W38" s="33"/>
      <c r="X38" s="33"/>
      <c r="Y38" s="33"/>
      <c r="Z38" s="33"/>
      <c r="AA38" s="33"/>
      <c r="AB38" s="33"/>
      <c r="AC38" s="33"/>
      <c r="AD38" s="33"/>
      <c r="AE38" s="33"/>
      <c r="AF38" s="33"/>
      <c r="AG38" s="21"/>
    </row>
    <row r="39" spans="1:33" ht="13.2" customHeight="1" x14ac:dyDescent="0.3">
      <c r="A39" s="21"/>
      <c r="B39" s="28" t="s">
        <v>194</v>
      </c>
      <c r="C39" s="39" t="s">
        <v>59</v>
      </c>
      <c r="D39" s="174" t="s">
        <v>768</v>
      </c>
      <c r="E39" s="172"/>
      <c r="F39" s="29"/>
      <c r="G39" s="29"/>
      <c r="H39" s="32"/>
      <c r="I39" s="32"/>
      <c r="J39" s="32"/>
      <c r="K39" s="32"/>
      <c r="L39" s="33"/>
      <c r="M39" s="33"/>
      <c r="N39" s="33"/>
      <c r="O39" s="33"/>
      <c r="P39" s="33"/>
      <c r="Q39" s="33"/>
      <c r="R39" s="33"/>
      <c r="S39" s="33"/>
      <c r="T39" s="33"/>
      <c r="U39" s="33"/>
      <c r="V39" s="33"/>
      <c r="W39" s="33"/>
      <c r="X39" s="33"/>
      <c r="Y39" s="33"/>
      <c r="Z39" s="33"/>
      <c r="AA39" s="33"/>
      <c r="AB39" s="33"/>
      <c r="AC39" s="33"/>
      <c r="AD39" s="33"/>
      <c r="AE39" s="33"/>
      <c r="AF39" s="33"/>
      <c r="AG39" s="21"/>
    </row>
    <row r="40" spans="1:33" ht="13.2" customHeight="1" x14ac:dyDescent="0.3">
      <c r="A40" s="21"/>
      <c r="B40" s="28" t="s">
        <v>195</v>
      </c>
      <c r="C40" s="39" t="s">
        <v>60</v>
      </c>
      <c r="D40" s="174" t="s">
        <v>769</v>
      </c>
      <c r="E40" s="172"/>
      <c r="F40" s="29"/>
      <c r="G40" s="29"/>
      <c r="H40" s="32"/>
      <c r="I40" s="32"/>
      <c r="J40" s="32"/>
      <c r="K40" s="32"/>
      <c r="L40" s="33"/>
      <c r="M40" s="33"/>
      <c r="N40" s="33"/>
      <c r="O40" s="33"/>
      <c r="P40" s="33"/>
      <c r="Q40" s="33"/>
      <c r="R40" s="33"/>
      <c r="S40" s="33"/>
      <c r="T40" s="33"/>
      <c r="U40" s="33"/>
      <c r="V40" s="33"/>
      <c r="W40" s="33"/>
      <c r="X40" s="33"/>
      <c r="Y40" s="33"/>
      <c r="Z40" s="33"/>
      <c r="AA40" s="33"/>
      <c r="AB40" s="33"/>
      <c r="AC40" s="33"/>
      <c r="AD40" s="33"/>
      <c r="AE40" s="33"/>
      <c r="AF40" s="33"/>
      <c r="AG40" s="21"/>
    </row>
    <row r="41" spans="1:33" ht="13.2" customHeight="1" x14ac:dyDescent="0.3">
      <c r="A41" s="21"/>
      <c r="B41" s="28" t="s">
        <v>196</v>
      </c>
      <c r="C41" s="39" t="s">
        <v>61</v>
      </c>
      <c r="D41" s="174" t="s">
        <v>770</v>
      </c>
      <c r="E41" s="172"/>
      <c r="F41" s="29"/>
      <c r="G41" s="29"/>
      <c r="H41" s="32"/>
      <c r="I41" s="32"/>
      <c r="J41" s="32"/>
      <c r="K41" s="32"/>
      <c r="L41" s="33"/>
      <c r="M41" s="33"/>
      <c r="N41" s="33"/>
      <c r="O41" s="33"/>
      <c r="P41" s="33"/>
      <c r="Q41" s="33"/>
      <c r="R41" s="33"/>
      <c r="S41" s="33"/>
      <c r="T41" s="33"/>
      <c r="U41" s="33"/>
      <c r="V41" s="33"/>
      <c r="W41" s="33"/>
      <c r="X41" s="33"/>
      <c r="Y41" s="33"/>
      <c r="Z41" s="33"/>
      <c r="AA41" s="33"/>
      <c r="AB41" s="33"/>
      <c r="AC41" s="33"/>
      <c r="AD41" s="33"/>
      <c r="AE41" s="33"/>
      <c r="AF41" s="33"/>
      <c r="AG41" s="21"/>
    </row>
    <row r="42" spans="1:33" ht="13.2" customHeight="1" x14ac:dyDescent="0.3">
      <c r="A42" s="21"/>
      <c r="B42" s="28" t="s">
        <v>198</v>
      </c>
      <c r="C42" s="39" t="s">
        <v>63</v>
      </c>
      <c r="D42" s="174" t="s">
        <v>771</v>
      </c>
      <c r="E42" s="172"/>
      <c r="F42" s="29"/>
      <c r="G42" s="29"/>
      <c r="H42" s="32"/>
      <c r="I42" s="32"/>
      <c r="J42" s="32"/>
      <c r="K42" s="32"/>
      <c r="L42" s="33"/>
      <c r="M42" s="33"/>
      <c r="N42" s="33"/>
      <c r="O42" s="33"/>
      <c r="P42" s="33"/>
      <c r="Q42" s="33"/>
      <c r="R42" s="33"/>
      <c r="S42" s="33"/>
      <c r="T42" s="33"/>
      <c r="U42" s="33"/>
      <c r="V42" s="33"/>
      <c r="W42" s="33"/>
      <c r="X42" s="33"/>
      <c r="Y42" s="33"/>
      <c r="Z42" s="33"/>
      <c r="AA42" s="33"/>
      <c r="AB42" s="33"/>
      <c r="AC42" s="33"/>
      <c r="AD42" s="33"/>
      <c r="AE42" s="33"/>
      <c r="AF42" s="33"/>
      <c r="AG42" s="21"/>
    </row>
    <row r="43" spans="1:33" ht="13.8" customHeight="1" x14ac:dyDescent="0.3">
      <c r="A43" s="21"/>
      <c r="B43" s="28" t="s">
        <v>202</v>
      </c>
      <c r="C43" s="39" t="s">
        <v>68</v>
      </c>
      <c r="D43" s="174" t="s">
        <v>306</v>
      </c>
      <c r="E43" s="172" t="s">
        <v>154</v>
      </c>
      <c r="F43" s="29" t="s">
        <v>137</v>
      </c>
      <c r="G43" s="29">
        <v>5</v>
      </c>
      <c r="H43" s="32">
        <v>5</v>
      </c>
      <c r="I43" s="32">
        <f>G43-H43</f>
        <v>0</v>
      </c>
      <c r="J43" s="32">
        <v>5</v>
      </c>
      <c r="K43" s="32">
        <f>SUM(J43-G43)</f>
        <v>0</v>
      </c>
      <c r="L43" s="33">
        <v>0</v>
      </c>
      <c r="M43" s="33">
        <v>0</v>
      </c>
      <c r="N43" s="33">
        <v>0</v>
      </c>
      <c r="O43" s="33">
        <v>0</v>
      </c>
      <c r="P43" s="33">
        <v>0</v>
      </c>
      <c r="Q43" s="33">
        <v>0</v>
      </c>
      <c r="R43" s="33">
        <v>0</v>
      </c>
      <c r="S43" s="33">
        <v>0</v>
      </c>
      <c r="T43" s="33">
        <v>0</v>
      </c>
      <c r="U43" s="33">
        <v>1</v>
      </c>
      <c r="V43" s="33">
        <v>1</v>
      </c>
      <c r="W43" s="33">
        <v>1</v>
      </c>
      <c r="X43" s="33">
        <v>1</v>
      </c>
      <c r="Y43" s="33">
        <v>1</v>
      </c>
      <c r="Z43" s="33">
        <v>0</v>
      </c>
      <c r="AA43" s="33">
        <v>0</v>
      </c>
      <c r="AB43" s="33">
        <v>0</v>
      </c>
      <c r="AC43" s="33">
        <v>0</v>
      </c>
      <c r="AD43" s="33">
        <v>0</v>
      </c>
      <c r="AE43" s="33">
        <v>0</v>
      </c>
      <c r="AF43" s="33">
        <v>0</v>
      </c>
      <c r="AG43" s="21"/>
    </row>
    <row r="44" spans="1:33" ht="13.5" customHeight="1" x14ac:dyDescent="0.3">
      <c r="A44" s="21"/>
      <c r="B44" s="36"/>
      <c r="C44" s="42"/>
      <c r="D44" s="43"/>
      <c r="E44" s="42"/>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21"/>
    </row>
    <row r="45" spans="1:33" ht="13.5" customHeight="1" x14ac:dyDescent="0.3">
      <c r="A45" s="21"/>
      <c r="B45" s="175" t="s">
        <v>204</v>
      </c>
      <c r="C45" s="29" t="s">
        <v>33</v>
      </c>
      <c r="D45" s="40" t="s">
        <v>185</v>
      </c>
      <c r="E45" s="183" t="s">
        <v>146</v>
      </c>
      <c r="F45" s="29" t="s">
        <v>137</v>
      </c>
      <c r="G45" s="29">
        <v>8</v>
      </c>
      <c r="H45" s="32">
        <v>8</v>
      </c>
      <c r="I45" s="32">
        <f t="shared" ref="I45:I67" si="4">G45-H45</f>
        <v>0</v>
      </c>
      <c r="J45" s="32">
        <v>8</v>
      </c>
      <c r="K45" s="32">
        <f t="shared" ref="K45:K67" si="5">SUM(J45-G45)</f>
        <v>0</v>
      </c>
      <c r="L45" s="33">
        <v>0</v>
      </c>
      <c r="M45" s="33">
        <v>0</v>
      </c>
      <c r="N45" s="33">
        <v>0</v>
      </c>
      <c r="O45" s="33">
        <v>0</v>
      </c>
      <c r="P45" s="33">
        <v>0</v>
      </c>
      <c r="Q45" s="33">
        <v>0</v>
      </c>
      <c r="R45" s="33">
        <v>0</v>
      </c>
      <c r="S45" s="33">
        <v>2</v>
      </c>
      <c r="T45" s="33">
        <v>2</v>
      </c>
      <c r="U45" s="33">
        <v>2</v>
      </c>
      <c r="V45" s="33">
        <v>2</v>
      </c>
      <c r="W45" s="33">
        <v>0</v>
      </c>
      <c r="X45" s="33">
        <v>0</v>
      </c>
      <c r="Y45" s="33">
        <v>0</v>
      </c>
      <c r="Z45" s="33">
        <v>0</v>
      </c>
      <c r="AA45" s="33">
        <v>0</v>
      </c>
      <c r="AB45" s="33">
        <v>0</v>
      </c>
      <c r="AC45" s="33">
        <v>0</v>
      </c>
      <c r="AD45" s="33">
        <v>0</v>
      </c>
      <c r="AE45" s="33">
        <v>0</v>
      </c>
      <c r="AF45" s="33">
        <v>0</v>
      </c>
      <c r="AG45" s="21"/>
    </row>
    <row r="46" spans="1:33" ht="13.5" customHeight="1" x14ac:dyDescent="0.3">
      <c r="A46" s="21"/>
      <c r="B46" s="175" t="s">
        <v>206</v>
      </c>
      <c r="C46" s="29" t="s">
        <v>33</v>
      </c>
      <c r="D46" s="40" t="s">
        <v>187</v>
      </c>
      <c r="E46" s="183" t="s">
        <v>146</v>
      </c>
      <c r="F46" s="29" t="s">
        <v>137</v>
      </c>
      <c r="G46" s="29">
        <v>7</v>
      </c>
      <c r="H46" s="32">
        <v>6</v>
      </c>
      <c r="I46" s="32">
        <f t="shared" si="4"/>
        <v>1</v>
      </c>
      <c r="J46" s="32">
        <v>6</v>
      </c>
      <c r="K46" s="32">
        <f t="shared" si="5"/>
        <v>-1</v>
      </c>
      <c r="L46" s="33">
        <v>0</v>
      </c>
      <c r="M46" s="33">
        <v>0</v>
      </c>
      <c r="N46" s="33">
        <v>0</v>
      </c>
      <c r="O46" s="33">
        <v>0</v>
      </c>
      <c r="P46" s="33">
        <v>0</v>
      </c>
      <c r="Q46" s="33">
        <v>0</v>
      </c>
      <c r="R46" s="33">
        <v>0</v>
      </c>
      <c r="S46" s="33">
        <v>2</v>
      </c>
      <c r="T46" s="33">
        <v>2</v>
      </c>
      <c r="U46" s="33">
        <v>2</v>
      </c>
      <c r="V46" s="33">
        <v>1</v>
      </c>
      <c r="W46" s="33">
        <v>0</v>
      </c>
      <c r="X46" s="33">
        <v>0</v>
      </c>
      <c r="Y46" s="33">
        <v>0</v>
      </c>
      <c r="Z46" s="33">
        <v>0</v>
      </c>
      <c r="AA46" s="33">
        <v>0</v>
      </c>
      <c r="AB46" s="33">
        <v>0</v>
      </c>
      <c r="AC46" s="33">
        <v>0</v>
      </c>
      <c r="AD46" s="33">
        <v>0</v>
      </c>
      <c r="AE46" s="33">
        <v>0</v>
      </c>
      <c r="AF46" s="33">
        <v>0</v>
      </c>
      <c r="AG46" s="21"/>
    </row>
    <row r="47" spans="1:33" ht="13.5" customHeight="1" x14ac:dyDescent="0.3">
      <c r="A47" s="21"/>
      <c r="B47" s="175" t="s">
        <v>208</v>
      </c>
      <c r="C47" s="39" t="s">
        <v>36</v>
      </c>
      <c r="D47" s="40" t="s">
        <v>189</v>
      </c>
      <c r="E47" s="183" t="s">
        <v>146</v>
      </c>
      <c r="F47" s="29" t="s">
        <v>137</v>
      </c>
      <c r="G47" s="29">
        <v>8</v>
      </c>
      <c r="H47" s="32">
        <v>12</v>
      </c>
      <c r="I47" s="32">
        <f t="shared" si="4"/>
        <v>-4</v>
      </c>
      <c r="J47" s="32">
        <v>10</v>
      </c>
      <c r="K47" s="32">
        <f t="shared" si="5"/>
        <v>2</v>
      </c>
      <c r="L47" s="33">
        <v>0</v>
      </c>
      <c r="M47" s="33">
        <v>0</v>
      </c>
      <c r="N47" s="33">
        <v>0</v>
      </c>
      <c r="O47" s="33">
        <v>0</v>
      </c>
      <c r="P47" s="33">
        <v>0</v>
      </c>
      <c r="Q47" s="33">
        <v>0</v>
      </c>
      <c r="R47" s="33">
        <v>0</v>
      </c>
      <c r="S47" s="33">
        <v>0</v>
      </c>
      <c r="T47" s="33">
        <v>0</v>
      </c>
      <c r="U47" s="33">
        <v>0</v>
      </c>
      <c r="V47" s="33">
        <v>0</v>
      </c>
      <c r="W47" s="33">
        <v>2</v>
      </c>
      <c r="X47" s="33">
        <v>2</v>
      </c>
      <c r="Y47" s="33">
        <v>2</v>
      </c>
      <c r="Z47" s="33">
        <v>2</v>
      </c>
      <c r="AA47" s="33">
        <v>0</v>
      </c>
      <c r="AB47" s="33">
        <v>0</v>
      </c>
      <c r="AC47" s="33">
        <v>0</v>
      </c>
      <c r="AD47" s="33">
        <v>0</v>
      </c>
      <c r="AE47" s="33">
        <v>0</v>
      </c>
      <c r="AF47" s="33">
        <v>0</v>
      </c>
      <c r="AG47" s="21"/>
    </row>
    <row r="48" spans="1:33" ht="13.5" customHeight="1" x14ac:dyDescent="0.3">
      <c r="A48" s="21"/>
      <c r="B48" s="175" t="s">
        <v>209</v>
      </c>
      <c r="C48" s="39" t="s">
        <v>36</v>
      </c>
      <c r="D48" s="40" t="s">
        <v>191</v>
      </c>
      <c r="E48" s="186" t="s">
        <v>146</v>
      </c>
      <c r="F48" s="29" t="s">
        <v>137</v>
      </c>
      <c r="G48" s="29">
        <v>7</v>
      </c>
      <c r="H48" s="32">
        <v>5</v>
      </c>
      <c r="I48" s="32">
        <f t="shared" si="4"/>
        <v>2</v>
      </c>
      <c r="J48" s="32">
        <v>5</v>
      </c>
      <c r="K48" s="32">
        <f t="shared" si="5"/>
        <v>-2</v>
      </c>
      <c r="L48" s="33">
        <v>0</v>
      </c>
      <c r="M48" s="33">
        <v>0</v>
      </c>
      <c r="N48" s="33">
        <v>0</v>
      </c>
      <c r="O48" s="33">
        <v>0</v>
      </c>
      <c r="P48" s="33">
        <v>0</v>
      </c>
      <c r="Q48" s="33">
        <v>0</v>
      </c>
      <c r="R48" s="33">
        <v>0</v>
      </c>
      <c r="S48" s="33">
        <v>0</v>
      </c>
      <c r="T48" s="33">
        <v>0</v>
      </c>
      <c r="U48" s="33">
        <v>0</v>
      </c>
      <c r="V48" s="33">
        <v>0</v>
      </c>
      <c r="W48" s="33">
        <v>2</v>
      </c>
      <c r="X48" s="33">
        <v>2</v>
      </c>
      <c r="Y48" s="33">
        <v>2</v>
      </c>
      <c r="Z48" s="33">
        <v>1</v>
      </c>
      <c r="AA48" s="33">
        <v>0</v>
      </c>
      <c r="AB48" s="33">
        <v>0</v>
      </c>
      <c r="AC48" s="33">
        <v>0</v>
      </c>
      <c r="AD48" s="33">
        <v>0</v>
      </c>
      <c r="AE48" s="33">
        <v>0</v>
      </c>
      <c r="AF48" s="33">
        <v>0</v>
      </c>
      <c r="AG48" s="21"/>
    </row>
    <row r="49" spans="1:33" ht="13.5" customHeight="1" x14ac:dyDescent="0.3">
      <c r="A49" s="21"/>
      <c r="B49" s="175" t="s">
        <v>210</v>
      </c>
      <c r="C49" s="185" t="s">
        <v>39</v>
      </c>
      <c r="D49" s="173" t="s">
        <v>197</v>
      </c>
      <c r="E49" s="188" t="s">
        <v>154</v>
      </c>
      <c r="F49" s="29" t="s">
        <v>137</v>
      </c>
      <c r="G49" s="29">
        <v>8</v>
      </c>
      <c r="H49" s="32">
        <v>8</v>
      </c>
      <c r="I49" s="32">
        <f t="shared" si="4"/>
        <v>0</v>
      </c>
      <c r="J49" s="32">
        <v>7</v>
      </c>
      <c r="K49" s="32">
        <f t="shared" si="5"/>
        <v>-1</v>
      </c>
      <c r="L49" s="33">
        <v>0</v>
      </c>
      <c r="M49" s="33">
        <v>0</v>
      </c>
      <c r="N49" s="33">
        <v>0</v>
      </c>
      <c r="O49" s="33">
        <v>0</v>
      </c>
      <c r="P49" s="33">
        <v>0</v>
      </c>
      <c r="Q49" s="33">
        <v>0</v>
      </c>
      <c r="R49" s="33">
        <v>0</v>
      </c>
      <c r="S49" s="33">
        <v>2</v>
      </c>
      <c r="T49" s="33">
        <v>2</v>
      </c>
      <c r="U49" s="33">
        <v>2</v>
      </c>
      <c r="V49" s="33">
        <v>2</v>
      </c>
      <c r="W49" s="33">
        <v>0</v>
      </c>
      <c r="X49" s="33">
        <v>0</v>
      </c>
      <c r="Y49" s="33">
        <v>0</v>
      </c>
      <c r="Z49" s="33">
        <v>0</v>
      </c>
      <c r="AA49" s="33">
        <v>0</v>
      </c>
      <c r="AB49" s="33">
        <v>0</v>
      </c>
      <c r="AC49" s="33">
        <v>0</v>
      </c>
      <c r="AD49" s="33">
        <v>0</v>
      </c>
      <c r="AE49" s="33">
        <v>0</v>
      </c>
      <c r="AF49" s="33">
        <v>0</v>
      </c>
      <c r="AG49" s="21"/>
    </row>
    <row r="50" spans="1:33" ht="13.5" customHeight="1" x14ac:dyDescent="0.3">
      <c r="A50" s="21"/>
      <c r="B50" s="175" t="s">
        <v>212</v>
      </c>
      <c r="C50" s="185" t="s">
        <v>39</v>
      </c>
      <c r="D50" s="173" t="s">
        <v>199</v>
      </c>
      <c r="E50" s="188" t="s">
        <v>154</v>
      </c>
      <c r="F50" s="29" t="s">
        <v>137</v>
      </c>
      <c r="G50" s="29">
        <v>7</v>
      </c>
      <c r="H50" s="32">
        <v>10</v>
      </c>
      <c r="I50" s="32">
        <f t="shared" si="4"/>
        <v>-3</v>
      </c>
      <c r="J50" s="32">
        <v>12</v>
      </c>
      <c r="K50" s="32">
        <f t="shared" si="5"/>
        <v>5</v>
      </c>
      <c r="L50" s="33">
        <v>0</v>
      </c>
      <c r="M50" s="33">
        <v>0</v>
      </c>
      <c r="N50" s="33">
        <v>0</v>
      </c>
      <c r="O50" s="33">
        <v>0</v>
      </c>
      <c r="P50" s="33">
        <v>0</v>
      </c>
      <c r="Q50" s="33">
        <v>0</v>
      </c>
      <c r="R50" s="33">
        <v>0</v>
      </c>
      <c r="S50" s="33">
        <v>2</v>
      </c>
      <c r="T50" s="33">
        <v>2</v>
      </c>
      <c r="U50" s="33">
        <v>2</v>
      </c>
      <c r="V50" s="33">
        <v>1</v>
      </c>
      <c r="W50" s="33">
        <v>0</v>
      </c>
      <c r="X50" s="33">
        <v>0</v>
      </c>
      <c r="Y50" s="33">
        <v>0</v>
      </c>
      <c r="Z50" s="33">
        <v>0</v>
      </c>
      <c r="AA50" s="33">
        <v>0</v>
      </c>
      <c r="AB50" s="33">
        <v>0</v>
      </c>
      <c r="AC50" s="33">
        <v>0</v>
      </c>
      <c r="AD50" s="33">
        <v>0</v>
      </c>
      <c r="AE50" s="33">
        <v>0</v>
      </c>
      <c r="AF50" s="33">
        <v>0</v>
      </c>
      <c r="AG50" s="21"/>
    </row>
    <row r="51" spans="1:33" ht="13.5" customHeight="1" x14ac:dyDescent="0.3">
      <c r="A51" s="21"/>
      <c r="B51" s="175" t="s">
        <v>214</v>
      </c>
      <c r="C51" s="185" t="s">
        <v>40</v>
      </c>
      <c r="D51" s="173" t="s">
        <v>715</v>
      </c>
      <c r="E51" s="188" t="s">
        <v>154</v>
      </c>
      <c r="F51" s="29" t="s">
        <v>137</v>
      </c>
      <c r="G51" s="29">
        <v>8</v>
      </c>
      <c r="H51" s="32">
        <v>8</v>
      </c>
      <c r="I51" s="32">
        <f t="shared" si="4"/>
        <v>0</v>
      </c>
      <c r="J51" s="32">
        <v>8</v>
      </c>
      <c r="K51" s="32">
        <f t="shared" si="5"/>
        <v>0</v>
      </c>
      <c r="L51" s="33">
        <v>0</v>
      </c>
      <c r="M51" s="33">
        <v>0</v>
      </c>
      <c r="N51" s="33">
        <v>0</v>
      </c>
      <c r="O51" s="33">
        <v>0</v>
      </c>
      <c r="P51" s="33">
        <v>0</v>
      </c>
      <c r="Q51" s="33">
        <v>0</v>
      </c>
      <c r="R51" s="33">
        <v>0</v>
      </c>
      <c r="S51" s="33">
        <v>0</v>
      </c>
      <c r="T51" s="33">
        <v>0</v>
      </c>
      <c r="U51" s="33">
        <v>0</v>
      </c>
      <c r="V51" s="33">
        <v>0</v>
      </c>
      <c r="W51" s="33">
        <v>2</v>
      </c>
      <c r="X51" s="33">
        <v>2</v>
      </c>
      <c r="Y51" s="33">
        <v>2</v>
      </c>
      <c r="Z51" s="33">
        <v>2</v>
      </c>
      <c r="AA51" s="33">
        <v>0</v>
      </c>
      <c r="AB51" s="33">
        <v>0</v>
      </c>
      <c r="AC51" s="33">
        <v>0</v>
      </c>
      <c r="AD51" s="33">
        <v>0</v>
      </c>
      <c r="AE51" s="33">
        <v>0</v>
      </c>
      <c r="AF51" s="33">
        <v>0</v>
      </c>
      <c r="AG51" s="21"/>
    </row>
    <row r="52" spans="1:33" ht="13.5" customHeight="1" x14ac:dyDescent="0.3">
      <c r="A52" s="21"/>
      <c r="B52" s="175" t="s">
        <v>216</v>
      </c>
      <c r="C52" s="185" t="s">
        <v>40</v>
      </c>
      <c r="D52" s="173" t="s">
        <v>716</v>
      </c>
      <c r="E52" s="188" t="s">
        <v>154</v>
      </c>
      <c r="F52" s="29" t="s">
        <v>137</v>
      </c>
      <c r="G52" s="29">
        <v>7</v>
      </c>
      <c r="H52" s="32">
        <v>5</v>
      </c>
      <c r="I52" s="32">
        <f t="shared" si="4"/>
        <v>2</v>
      </c>
      <c r="J52" s="32">
        <v>8</v>
      </c>
      <c r="K52" s="32">
        <f t="shared" si="5"/>
        <v>1</v>
      </c>
      <c r="L52" s="33">
        <v>0</v>
      </c>
      <c r="M52" s="33">
        <v>0</v>
      </c>
      <c r="N52" s="33">
        <v>0</v>
      </c>
      <c r="O52" s="33">
        <v>0</v>
      </c>
      <c r="P52" s="33">
        <v>0</v>
      </c>
      <c r="Q52" s="33">
        <v>0</v>
      </c>
      <c r="R52" s="33">
        <v>0</v>
      </c>
      <c r="S52" s="33">
        <v>0</v>
      </c>
      <c r="T52" s="33">
        <v>0</v>
      </c>
      <c r="U52" s="33">
        <v>0</v>
      </c>
      <c r="V52" s="33">
        <v>0</v>
      </c>
      <c r="W52" s="33">
        <v>2</v>
      </c>
      <c r="X52" s="33">
        <v>2</v>
      </c>
      <c r="Y52" s="33">
        <v>2</v>
      </c>
      <c r="Z52" s="33">
        <v>1</v>
      </c>
      <c r="AA52" s="33">
        <v>0</v>
      </c>
      <c r="AB52" s="33">
        <v>0</v>
      </c>
      <c r="AC52" s="33">
        <v>0</v>
      </c>
      <c r="AD52" s="33">
        <v>0</v>
      </c>
      <c r="AE52" s="33">
        <v>0</v>
      </c>
      <c r="AF52" s="33">
        <v>0</v>
      </c>
      <c r="AG52" s="21"/>
    </row>
    <row r="53" spans="1:33" ht="13.5" customHeight="1" x14ac:dyDescent="0.3">
      <c r="A53" s="21"/>
      <c r="B53" s="175" t="s">
        <v>218</v>
      </c>
      <c r="C53" s="185" t="s">
        <v>43</v>
      </c>
      <c r="D53" s="173" t="s">
        <v>697</v>
      </c>
      <c r="E53" s="187" t="s">
        <v>143</v>
      </c>
      <c r="F53" s="29" t="s">
        <v>137</v>
      </c>
      <c r="G53" s="29">
        <v>8</v>
      </c>
      <c r="H53" s="32"/>
      <c r="I53" s="32"/>
      <c r="J53" s="32"/>
      <c r="K53" s="32"/>
      <c r="L53" s="33">
        <v>0</v>
      </c>
      <c r="M53" s="33">
        <v>0</v>
      </c>
      <c r="N53" s="33">
        <v>0</v>
      </c>
      <c r="O53" s="33">
        <v>0</v>
      </c>
      <c r="P53" s="33">
        <v>0</v>
      </c>
      <c r="Q53" s="33">
        <v>0</v>
      </c>
      <c r="R53" s="33">
        <v>0</v>
      </c>
      <c r="S53" s="33">
        <v>2</v>
      </c>
      <c r="T53" s="33">
        <v>2</v>
      </c>
      <c r="U53" s="33">
        <v>2</v>
      </c>
      <c r="V53" s="33">
        <v>2</v>
      </c>
      <c r="W53" s="33">
        <v>0</v>
      </c>
      <c r="X53" s="33">
        <v>0</v>
      </c>
      <c r="Y53" s="33">
        <v>0</v>
      </c>
      <c r="Z53" s="33">
        <v>0</v>
      </c>
      <c r="AA53" s="33">
        <v>0</v>
      </c>
      <c r="AB53" s="33">
        <v>0</v>
      </c>
      <c r="AC53" s="33">
        <v>0</v>
      </c>
      <c r="AD53" s="33">
        <v>0</v>
      </c>
      <c r="AE53" s="33">
        <v>0</v>
      </c>
      <c r="AF53" s="33">
        <v>0</v>
      </c>
      <c r="AG53" s="21"/>
    </row>
    <row r="54" spans="1:33" ht="13.5" customHeight="1" x14ac:dyDescent="0.3">
      <c r="A54" s="21"/>
      <c r="B54" s="175" t="s">
        <v>219</v>
      </c>
      <c r="C54" s="185" t="s">
        <v>43</v>
      </c>
      <c r="D54" s="173" t="s">
        <v>698</v>
      </c>
      <c r="E54" s="172" t="s">
        <v>143</v>
      </c>
      <c r="F54" s="29" t="s">
        <v>137</v>
      </c>
      <c r="G54" s="29">
        <v>7</v>
      </c>
      <c r="H54" s="32"/>
      <c r="I54" s="32"/>
      <c r="J54" s="32"/>
      <c r="K54" s="32"/>
      <c r="L54" s="33">
        <v>0</v>
      </c>
      <c r="M54" s="33">
        <v>0</v>
      </c>
      <c r="N54" s="33">
        <v>0</v>
      </c>
      <c r="O54" s="33">
        <v>0</v>
      </c>
      <c r="P54" s="33">
        <v>0</v>
      </c>
      <c r="Q54" s="33">
        <v>0</v>
      </c>
      <c r="R54" s="33">
        <v>0</v>
      </c>
      <c r="S54" s="33">
        <v>2</v>
      </c>
      <c r="T54" s="33">
        <v>2</v>
      </c>
      <c r="U54" s="33">
        <v>2</v>
      </c>
      <c r="V54" s="33">
        <v>1</v>
      </c>
      <c r="W54" s="33">
        <v>0</v>
      </c>
      <c r="X54" s="33">
        <v>0</v>
      </c>
      <c r="Y54" s="33">
        <v>0</v>
      </c>
      <c r="Z54" s="33">
        <v>0</v>
      </c>
      <c r="AA54" s="33">
        <v>0</v>
      </c>
      <c r="AB54" s="33">
        <v>0</v>
      </c>
      <c r="AC54" s="33">
        <v>0</v>
      </c>
      <c r="AD54" s="33">
        <v>0</v>
      </c>
      <c r="AE54" s="33">
        <v>0</v>
      </c>
      <c r="AF54" s="33">
        <v>0</v>
      </c>
      <c r="AG54" s="21"/>
    </row>
    <row r="55" spans="1:33" ht="13.5" customHeight="1" x14ac:dyDescent="0.3">
      <c r="A55" s="21"/>
      <c r="B55" s="175" t="s">
        <v>221</v>
      </c>
      <c r="C55" s="185" t="s">
        <v>46</v>
      </c>
      <c r="D55" s="173" t="s">
        <v>699</v>
      </c>
      <c r="E55" s="172" t="s">
        <v>146</v>
      </c>
      <c r="F55" s="29" t="s">
        <v>137</v>
      </c>
      <c r="G55" s="29">
        <v>8</v>
      </c>
      <c r="H55" s="32"/>
      <c r="I55" s="32"/>
      <c r="J55" s="32"/>
      <c r="K55" s="32"/>
      <c r="L55" s="33">
        <v>0</v>
      </c>
      <c r="M55" s="33">
        <v>0</v>
      </c>
      <c r="N55" s="33">
        <v>0</v>
      </c>
      <c r="O55" s="33">
        <v>0</v>
      </c>
      <c r="P55" s="33">
        <v>0</v>
      </c>
      <c r="Q55" s="33">
        <v>0</v>
      </c>
      <c r="R55" s="33">
        <v>0</v>
      </c>
      <c r="S55" s="33">
        <v>2</v>
      </c>
      <c r="T55" s="33">
        <v>2</v>
      </c>
      <c r="U55" s="33">
        <v>2</v>
      </c>
      <c r="V55" s="33">
        <v>2</v>
      </c>
      <c r="W55" s="33">
        <v>0</v>
      </c>
      <c r="X55" s="33">
        <v>0</v>
      </c>
      <c r="Y55" s="33">
        <v>0</v>
      </c>
      <c r="Z55" s="33">
        <v>0</v>
      </c>
      <c r="AA55" s="33">
        <v>0</v>
      </c>
      <c r="AB55" s="33">
        <v>0</v>
      </c>
      <c r="AC55" s="33">
        <v>0</v>
      </c>
      <c r="AD55" s="33">
        <v>0</v>
      </c>
      <c r="AE55" s="33">
        <v>0</v>
      </c>
      <c r="AF55" s="33">
        <v>0</v>
      </c>
      <c r="AG55" s="21"/>
    </row>
    <row r="56" spans="1:33" ht="13.5" customHeight="1" x14ac:dyDescent="0.3">
      <c r="A56" s="21"/>
      <c r="B56" s="175" t="s">
        <v>223</v>
      </c>
      <c r="C56" s="185" t="s">
        <v>46</v>
      </c>
      <c r="D56" s="173" t="s">
        <v>700</v>
      </c>
      <c r="E56" s="172" t="s">
        <v>146</v>
      </c>
      <c r="F56" s="29" t="s">
        <v>137</v>
      </c>
      <c r="G56" s="29">
        <v>7</v>
      </c>
      <c r="H56" s="32"/>
      <c r="I56" s="32"/>
      <c r="J56" s="32"/>
      <c r="K56" s="32"/>
      <c r="L56" s="33">
        <v>0</v>
      </c>
      <c r="M56" s="33">
        <v>0</v>
      </c>
      <c r="N56" s="33">
        <v>0</v>
      </c>
      <c r="O56" s="33">
        <v>0</v>
      </c>
      <c r="P56" s="33">
        <v>0</v>
      </c>
      <c r="Q56" s="33">
        <v>0</v>
      </c>
      <c r="R56" s="33">
        <v>0</v>
      </c>
      <c r="S56" s="33">
        <v>2</v>
      </c>
      <c r="T56" s="33">
        <v>2</v>
      </c>
      <c r="U56" s="33">
        <v>2</v>
      </c>
      <c r="V56" s="33">
        <v>1</v>
      </c>
      <c r="W56" s="33">
        <v>0</v>
      </c>
      <c r="X56" s="33">
        <v>0</v>
      </c>
      <c r="Y56" s="33">
        <v>0</v>
      </c>
      <c r="Z56" s="33">
        <v>0</v>
      </c>
      <c r="AA56" s="33">
        <v>0</v>
      </c>
      <c r="AB56" s="33">
        <v>0</v>
      </c>
      <c r="AC56" s="33">
        <v>0</v>
      </c>
      <c r="AD56" s="33">
        <v>0</v>
      </c>
      <c r="AE56" s="33">
        <v>0</v>
      </c>
      <c r="AF56" s="33">
        <v>0</v>
      </c>
      <c r="AG56" s="21"/>
    </row>
    <row r="57" spans="1:33" ht="13.5" customHeight="1" x14ac:dyDescent="0.3">
      <c r="A57" s="21"/>
      <c r="B57" s="175" t="s">
        <v>224</v>
      </c>
      <c r="C57" s="185" t="s">
        <v>47</v>
      </c>
      <c r="D57" s="173" t="s">
        <v>701</v>
      </c>
      <c r="E57" s="172" t="s">
        <v>151</v>
      </c>
      <c r="F57" s="29" t="s">
        <v>137</v>
      </c>
      <c r="G57" s="29">
        <v>8</v>
      </c>
      <c r="H57" s="32"/>
      <c r="I57" s="32"/>
      <c r="J57" s="32"/>
      <c r="K57" s="32"/>
      <c r="L57" s="33">
        <v>0</v>
      </c>
      <c r="M57" s="33">
        <v>0</v>
      </c>
      <c r="N57" s="33">
        <v>0</v>
      </c>
      <c r="O57" s="33">
        <v>0</v>
      </c>
      <c r="P57" s="33">
        <v>0</v>
      </c>
      <c r="Q57" s="33">
        <v>0</v>
      </c>
      <c r="R57" s="33">
        <v>0</v>
      </c>
      <c r="S57" s="33">
        <v>2</v>
      </c>
      <c r="T57" s="33">
        <v>2</v>
      </c>
      <c r="U57" s="33">
        <v>2</v>
      </c>
      <c r="V57" s="33">
        <v>2</v>
      </c>
      <c r="W57" s="33">
        <v>0</v>
      </c>
      <c r="X57" s="33">
        <v>0</v>
      </c>
      <c r="Y57" s="33">
        <v>0</v>
      </c>
      <c r="Z57" s="33">
        <v>0</v>
      </c>
      <c r="AA57" s="33">
        <v>0</v>
      </c>
      <c r="AB57" s="33">
        <v>0</v>
      </c>
      <c r="AC57" s="33">
        <v>0</v>
      </c>
      <c r="AD57" s="33">
        <v>0</v>
      </c>
      <c r="AE57" s="33">
        <v>0</v>
      </c>
      <c r="AF57" s="33">
        <v>0</v>
      </c>
      <c r="AG57" s="21"/>
    </row>
    <row r="58" spans="1:33" ht="13.5" customHeight="1" x14ac:dyDescent="0.3">
      <c r="A58" s="21"/>
      <c r="B58" s="175" t="s">
        <v>226</v>
      </c>
      <c r="C58" s="185" t="s">
        <v>47</v>
      </c>
      <c r="D58" s="173" t="s">
        <v>702</v>
      </c>
      <c r="E58" s="172" t="s">
        <v>151</v>
      </c>
      <c r="F58" s="29" t="s">
        <v>137</v>
      </c>
      <c r="G58" s="29">
        <v>7</v>
      </c>
      <c r="H58" s="32"/>
      <c r="I58" s="32"/>
      <c r="J58" s="32"/>
      <c r="K58" s="32"/>
      <c r="L58" s="33">
        <v>0</v>
      </c>
      <c r="M58" s="33">
        <v>0</v>
      </c>
      <c r="N58" s="33">
        <v>0</v>
      </c>
      <c r="O58" s="33">
        <v>0</v>
      </c>
      <c r="P58" s="33">
        <v>0</v>
      </c>
      <c r="Q58" s="33">
        <v>0</v>
      </c>
      <c r="R58" s="33">
        <v>0</v>
      </c>
      <c r="S58" s="33">
        <v>2</v>
      </c>
      <c r="T58" s="33">
        <v>2</v>
      </c>
      <c r="U58" s="33">
        <v>2</v>
      </c>
      <c r="V58" s="33">
        <v>1</v>
      </c>
      <c r="W58" s="33">
        <v>0</v>
      </c>
      <c r="X58" s="33">
        <v>0</v>
      </c>
      <c r="Y58" s="33">
        <v>0</v>
      </c>
      <c r="Z58" s="33">
        <v>0</v>
      </c>
      <c r="AA58" s="33">
        <v>0</v>
      </c>
      <c r="AB58" s="33">
        <v>0</v>
      </c>
      <c r="AC58" s="33">
        <v>0</v>
      </c>
      <c r="AD58" s="33">
        <v>0</v>
      </c>
      <c r="AE58" s="33">
        <v>0</v>
      </c>
      <c r="AF58" s="33">
        <v>0</v>
      </c>
      <c r="AG58" s="21"/>
    </row>
    <row r="59" spans="1:33" ht="13.5" customHeight="1" x14ac:dyDescent="0.3">
      <c r="A59" s="21"/>
      <c r="B59" s="175" t="s">
        <v>227</v>
      </c>
      <c r="C59" s="185" t="s">
        <v>48</v>
      </c>
      <c r="D59" s="173" t="s">
        <v>703</v>
      </c>
      <c r="E59" s="172" t="s">
        <v>136</v>
      </c>
      <c r="F59" s="29" t="s">
        <v>137</v>
      </c>
      <c r="G59" s="29">
        <v>8</v>
      </c>
      <c r="H59" s="32"/>
      <c r="I59" s="32"/>
      <c r="J59" s="32"/>
      <c r="K59" s="32"/>
      <c r="L59" s="33">
        <v>0</v>
      </c>
      <c r="M59" s="33">
        <v>0</v>
      </c>
      <c r="N59" s="33">
        <v>0</v>
      </c>
      <c r="O59" s="33">
        <v>0</v>
      </c>
      <c r="P59" s="33">
        <v>0</v>
      </c>
      <c r="Q59" s="33">
        <v>0</v>
      </c>
      <c r="R59" s="33">
        <v>0</v>
      </c>
      <c r="S59" s="33">
        <v>2</v>
      </c>
      <c r="T59" s="33">
        <v>2</v>
      </c>
      <c r="U59" s="33">
        <v>2</v>
      </c>
      <c r="V59" s="33">
        <v>2</v>
      </c>
      <c r="W59" s="33">
        <v>0</v>
      </c>
      <c r="X59" s="33">
        <v>0</v>
      </c>
      <c r="Y59" s="33">
        <v>0</v>
      </c>
      <c r="Z59" s="33">
        <v>0</v>
      </c>
      <c r="AA59" s="33">
        <v>0</v>
      </c>
      <c r="AB59" s="33">
        <v>0</v>
      </c>
      <c r="AC59" s="33">
        <v>0</v>
      </c>
      <c r="AD59" s="33">
        <v>0</v>
      </c>
      <c r="AE59" s="33">
        <v>0</v>
      </c>
      <c r="AF59" s="33">
        <v>0</v>
      </c>
      <c r="AG59" s="21"/>
    </row>
    <row r="60" spans="1:33" ht="13.5" customHeight="1" x14ac:dyDescent="0.3">
      <c r="A60" s="21"/>
      <c r="B60" s="175" t="s">
        <v>229</v>
      </c>
      <c r="C60" s="185" t="s">
        <v>48</v>
      </c>
      <c r="D60" s="173" t="s">
        <v>704</v>
      </c>
      <c r="E60" s="172" t="s">
        <v>136</v>
      </c>
      <c r="F60" s="29" t="s">
        <v>137</v>
      </c>
      <c r="G60" s="29">
        <v>7</v>
      </c>
      <c r="H60" s="32"/>
      <c r="I60" s="32"/>
      <c r="J60" s="32"/>
      <c r="K60" s="32"/>
      <c r="L60" s="33">
        <v>0</v>
      </c>
      <c r="M60" s="33">
        <v>0</v>
      </c>
      <c r="N60" s="33">
        <v>0</v>
      </c>
      <c r="O60" s="33">
        <v>0</v>
      </c>
      <c r="P60" s="33">
        <v>0</v>
      </c>
      <c r="Q60" s="33">
        <v>0</v>
      </c>
      <c r="R60" s="33">
        <v>0</v>
      </c>
      <c r="S60" s="33">
        <v>2</v>
      </c>
      <c r="T60" s="33">
        <v>2</v>
      </c>
      <c r="U60" s="33">
        <v>2</v>
      </c>
      <c r="V60" s="33">
        <v>1</v>
      </c>
      <c r="W60" s="33">
        <v>0</v>
      </c>
      <c r="X60" s="33">
        <v>0</v>
      </c>
      <c r="Y60" s="33">
        <v>0</v>
      </c>
      <c r="Z60" s="33">
        <v>0</v>
      </c>
      <c r="AA60" s="33">
        <v>0</v>
      </c>
      <c r="AB60" s="33">
        <v>0</v>
      </c>
      <c r="AC60" s="33">
        <v>0</v>
      </c>
      <c r="AD60" s="33">
        <v>0</v>
      </c>
      <c r="AE60" s="33">
        <v>0</v>
      </c>
      <c r="AF60" s="33">
        <v>0</v>
      </c>
      <c r="AG60" s="21"/>
    </row>
    <row r="61" spans="1:33" ht="13.5" customHeight="1" x14ac:dyDescent="0.3">
      <c r="A61" s="21"/>
      <c r="B61" s="175" t="s">
        <v>231</v>
      </c>
      <c r="C61" s="185" t="s">
        <v>49</v>
      </c>
      <c r="D61" s="40" t="s">
        <v>201</v>
      </c>
      <c r="E61" s="172" t="s">
        <v>471</v>
      </c>
      <c r="F61" s="29" t="s">
        <v>137</v>
      </c>
      <c r="G61" s="29">
        <v>3</v>
      </c>
      <c r="H61" s="32">
        <v>5</v>
      </c>
      <c r="I61" s="32">
        <f t="shared" si="4"/>
        <v>-2</v>
      </c>
      <c r="J61" s="32">
        <v>5</v>
      </c>
      <c r="K61" s="32">
        <f t="shared" si="5"/>
        <v>2</v>
      </c>
      <c r="L61" s="33">
        <v>0</v>
      </c>
      <c r="M61" s="33">
        <v>0</v>
      </c>
      <c r="N61" s="33">
        <v>0</v>
      </c>
      <c r="O61" s="33">
        <v>0</v>
      </c>
      <c r="P61" s="33">
        <v>0</v>
      </c>
      <c r="Q61" s="33">
        <v>0</v>
      </c>
      <c r="R61" s="33">
        <v>0</v>
      </c>
      <c r="S61" s="33">
        <v>0</v>
      </c>
      <c r="T61" s="33">
        <v>0</v>
      </c>
      <c r="U61" s="33">
        <v>0</v>
      </c>
      <c r="V61" s="33">
        <v>0</v>
      </c>
      <c r="W61" s="33">
        <v>0</v>
      </c>
      <c r="X61" s="33">
        <v>0</v>
      </c>
      <c r="Y61" s="33">
        <v>0</v>
      </c>
      <c r="Z61" s="33">
        <v>0</v>
      </c>
      <c r="AA61" s="33">
        <v>3</v>
      </c>
      <c r="AB61" s="33">
        <v>0</v>
      </c>
      <c r="AC61" s="33">
        <v>0</v>
      </c>
      <c r="AD61" s="33">
        <v>0</v>
      </c>
      <c r="AE61" s="33">
        <v>0</v>
      </c>
      <c r="AF61" s="33">
        <v>0</v>
      </c>
      <c r="AG61" s="21"/>
    </row>
    <row r="62" spans="1:33" ht="13.5" customHeight="1" x14ac:dyDescent="0.3">
      <c r="A62" s="21"/>
      <c r="B62" s="175" t="s">
        <v>273</v>
      </c>
      <c r="C62" s="185" t="s">
        <v>49</v>
      </c>
      <c r="D62" s="40" t="s">
        <v>203</v>
      </c>
      <c r="E62" s="172" t="s">
        <v>471</v>
      </c>
      <c r="F62" s="29" t="s">
        <v>137</v>
      </c>
      <c r="G62" s="29">
        <v>2</v>
      </c>
      <c r="H62" s="32">
        <v>5</v>
      </c>
      <c r="I62" s="32">
        <f t="shared" si="4"/>
        <v>-3</v>
      </c>
      <c r="J62" s="32">
        <v>5</v>
      </c>
      <c r="K62" s="32">
        <f t="shared" si="5"/>
        <v>3</v>
      </c>
      <c r="L62" s="33">
        <v>0</v>
      </c>
      <c r="M62" s="33">
        <v>0</v>
      </c>
      <c r="N62" s="33">
        <v>0</v>
      </c>
      <c r="O62" s="33">
        <v>0</v>
      </c>
      <c r="P62" s="33">
        <v>0</v>
      </c>
      <c r="Q62" s="33">
        <v>0</v>
      </c>
      <c r="R62" s="33">
        <v>0</v>
      </c>
      <c r="S62" s="33">
        <v>0</v>
      </c>
      <c r="T62" s="33">
        <v>0</v>
      </c>
      <c r="U62" s="33">
        <v>0</v>
      </c>
      <c r="V62" s="33">
        <v>0</v>
      </c>
      <c r="W62" s="33">
        <v>0</v>
      </c>
      <c r="X62" s="33">
        <v>0</v>
      </c>
      <c r="Y62" s="33">
        <v>0</v>
      </c>
      <c r="Z62" s="33">
        <v>0</v>
      </c>
      <c r="AA62" s="33">
        <v>2</v>
      </c>
      <c r="AB62" s="33">
        <v>0</v>
      </c>
      <c r="AC62" s="33">
        <v>0</v>
      </c>
      <c r="AD62" s="33">
        <v>0</v>
      </c>
      <c r="AE62" s="33">
        <v>0</v>
      </c>
      <c r="AF62" s="33">
        <v>0</v>
      </c>
      <c r="AG62" s="21"/>
    </row>
    <row r="63" spans="1:33" ht="13.5" customHeight="1" x14ac:dyDescent="0.3">
      <c r="A63" s="21"/>
      <c r="B63" s="175" t="s">
        <v>274</v>
      </c>
      <c r="C63" s="185" t="s">
        <v>51</v>
      </c>
      <c r="D63" s="40" t="s">
        <v>205</v>
      </c>
      <c r="E63" s="29" t="s">
        <v>154</v>
      </c>
      <c r="F63" s="29" t="s">
        <v>137</v>
      </c>
      <c r="G63" s="29">
        <v>8</v>
      </c>
      <c r="H63" s="32">
        <v>5</v>
      </c>
      <c r="I63" s="32">
        <f t="shared" si="4"/>
        <v>3</v>
      </c>
      <c r="J63" s="32">
        <v>8</v>
      </c>
      <c r="K63" s="32">
        <f t="shared" si="5"/>
        <v>0</v>
      </c>
      <c r="L63" s="33">
        <v>0</v>
      </c>
      <c r="M63" s="33">
        <v>0</v>
      </c>
      <c r="N63" s="33">
        <v>0</v>
      </c>
      <c r="O63" s="33">
        <v>0</v>
      </c>
      <c r="P63" s="33">
        <v>0</v>
      </c>
      <c r="Q63" s="33">
        <v>0</v>
      </c>
      <c r="R63" s="33">
        <v>0</v>
      </c>
      <c r="S63" s="33">
        <v>2</v>
      </c>
      <c r="T63" s="33">
        <v>2</v>
      </c>
      <c r="U63" s="33">
        <v>2</v>
      </c>
      <c r="V63" s="33">
        <v>2</v>
      </c>
      <c r="W63" s="33">
        <v>0</v>
      </c>
      <c r="X63" s="33">
        <v>0</v>
      </c>
      <c r="Y63" s="33">
        <v>0</v>
      </c>
      <c r="Z63" s="33">
        <v>0</v>
      </c>
      <c r="AA63" s="33">
        <v>0</v>
      </c>
      <c r="AB63" s="33">
        <v>0</v>
      </c>
      <c r="AC63" s="33">
        <v>0</v>
      </c>
      <c r="AD63" s="33">
        <v>0</v>
      </c>
      <c r="AE63" s="33">
        <v>0</v>
      </c>
      <c r="AF63" s="33">
        <v>0</v>
      </c>
      <c r="AG63" s="21"/>
    </row>
    <row r="64" spans="1:33" ht="13.5" customHeight="1" x14ac:dyDescent="0.3">
      <c r="A64" s="21"/>
      <c r="B64" s="175" t="s">
        <v>275</v>
      </c>
      <c r="C64" s="185" t="s">
        <v>51</v>
      </c>
      <c r="D64" s="40" t="s">
        <v>207</v>
      </c>
      <c r="E64" s="29" t="s">
        <v>154</v>
      </c>
      <c r="F64" s="29" t="s">
        <v>137</v>
      </c>
      <c r="G64" s="29">
        <v>7</v>
      </c>
      <c r="H64" s="32">
        <v>10</v>
      </c>
      <c r="I64" s="32">
        <f t="shared" si="4"/>
        <v>-3</v>
      </c>
      <c r="J64" s="32">
        <v>5</v>
      </c>
      <c r="K64" s="32">
        <f t="shared" si="5"/>
        <v>-2</v>
      </c>
      <c r="L64" s="33">
        <v>0</v>
      </c>
      <c r="M64" s="33">
        <v>0</v>
      </c>
      <c r="N64" s="33">
        <v>0</v>
      </c>
      <c r="O64" s="33">
        <v>0</v>
      </c>
      <c r="P64" s="33">
        <v>0</v>
      </c>
      <c r="Q64" s="33">
        <v>0</v>
      </c>
      <c r="R64" s="33">
        <v>0</v>
      </c>
      <c r="S64" s="33">
        <v>2</v>
      </c>
      <c r="T64" s="33">
        <v>2</v>
      </c>
      <c r="U64" s="33">
        <v>2</v>
      </c>
      <c r="V64" s="33">
        <v>1</v>
      </c>
      <c r="W64" s="33">
        <v>0</v>
      </c>
      <c r="X64" s="33">
        <v>0</v>
      </c>
      <c r="Y64" s="33">
        <v>0</v>
      </c>
      <c r="Z64" s="33">
        <v>0</v>
      </c>
      <c r="AA64" s="33">
        <v>0</v>
      </c>
      <c r="AB64" s="33">
        <v>0</v>
      </c>
      <c r="AC64" s="33">
        <v>0</v>
      </c>
      <c r="AD64" s="33">
        <v>0</v>
      </c>
      <c r="AE64" s="33">
        <v>0</v>
      </c>
      <c r="AF64" s="33">
        <v>0</v>
      </c>
      <c r="AG64" s="21"/>
    </row>
    <row r="65" spans="1:33" ht="13.5" customHeight="1" x14ac:dyDescent="0.3">
      <c r="A65" s="21"/>
      <c r="B65" s="175" t="s">
        <v>276</v>
      </c>
      <c r="C65" s="185" t="s">
        <v>52</v>
      </c>
      <c r="D65" s="174" t="s">
        <v>211</v>
      </c>
      <c r="E65" s="29" t="s">
        <v>154</v>
      </c>
      <c r="F65" s="29" t="s">
        <v>137</v>
      </c>
      <c r="G65" s="29">
        <v>8</v>
      </c>
      <c r="H65" s="32">
        <v>10</v>
      </c>
      <c r="I65" s="32">
        <f t="shared" si="4"/>
        <v>-2</v>
      </c>
      <c r="J65" s="32">
        <v>10</v>
      </c>
      <c r="K65" s="32">
        <f t="shared" si="5"/>
        <v>2</v>
      </c>
      <c r="L65" s="33">
        <v>0</v>
      </c>
      <c r="M65" s="33">
        <v>0</v>
      </c>
      <c r="N65" s="33">
        <v>0</v>
      </c>
      <c r="O65" s="33">
        <v>0</v>
      </c>
      <c r="P65" s="33">
        <v>0</v>
      </c>
      <c r="Q65" s="33">
        <v>0</v>
      </c>
      <c r="R65" s="33">
        <v>0</v>
      </c>
      <c r="S65" s="33">
        <v>0</v>
      </c>
      <c r="T65" s="33">
        <v>0</v>
      </c>
      <c r="U65" s="33">
        <v>0</v>
      </c>
      <c r="V65" s="33">
        <v>0</v>
      </c>
      <c r="W65" s="33">
        <v>2</v>
      </c>
      <c r="X65" s="33">
        <v>2</v>
      </c>
      <c r="Y65" s="33">
        <v>2</v>
      </c>
      <c r="Z65" s="33">
        <v>2</v>
      </c>
      <c r="AA65" s="33">
        <v>0</v>
      </c>
      <c r="AB65" s="33">
        <v>0</v>
      </c>
      <c r="AC65" s="33">
        <v>0</v>
      </c>
      <c r="AD65" s="33">
        <v>0</v>
      </c>
      <c r="AE65" s="33">
        <v>0</v>
      </c>
      <c r="AF65" s="33">
        <v>0</v>
      </c>
      <c r="AG65" s="21"/>
    </row>
    <row r="66" spans="1:33" ht="13.5" customHeight="1" x14ac:dyDescent="0.3">
      <c r="A66" s="21"/>
      <c r="B66" s="175" t="s">
        <v>278</v>
      </c>
      <c r="C66" s="185" t="s">
        <v>52</v>
      </c>
      <c r="D66" s="174" t="s">
        <v>213</v>
      </c>
      <c r="E66" s="29" t="s">
        <v>154</v>
      </c>
      <c r="F66" s="29" t="s">
        <v>137</v>
      </c>
      <c r="G66" s="29">
        <v>7</v>
      </c>
      <c r="H66" s="32">
        <v>8</v>
      </c>
      <c r="I66" s="32">
        <f t="shared" si="4"/>
        <v>-1</v>
      </c>
      <c r="J66" s="32">
        <v>12</v>
      </c>
      <c r="K66" s="32">
        <f t="shared" si="5"/>
        <v>5</v>
      </c>
      <c r="L66" s="33">
        <v>0</v>
      </c>
      <c r="M66" s="33">
        <v>0</v>
      </c>
      <c r="N66" s="33">
        <v>0</v>
      </c>
      <c r="O66" s="33">
        <v>0</v>
      </c>
      <c r="P66" s="33">
        <v>0</v>
      </c>
      <c r="Q66" s="33">
        <v>0</v>
      </c>
      <c r="R66" s="33">
        <v>0</v>
      </c>
      <c r="S66" s="33">
        <v>0</v>
      </c>
      <c r="T66" s="33">
        <v>0</v>
      </c>
      <c r="U66" s="33">
        <v>0</v>
      </c>
      <c r="V66" s="33">
        <v>0</v>
      </c>
      <c r="W66" s="33">
        <v>2</v>
      </c>
      <c r="X66" s="33">
        <v>2</v>
      </c>
      <c r="Y66" s="33">
        <v>2</v>
      </c>
      <c r="Z66" s="33">
        <v>1</v>
      </c>
      <c r="AA66" s="33">
        <v>0</v>
      </c>
      <c r="AB66" s="33">
        <v>0</v>
      </c>
      <c r="AC66" s="33">
        <v>0</v>
      </c>
      <c r="AD66" s="33">
        <v>0</v>
      </c>
      <c r="AE66" s="33">
        <v>0</v>
      </c>
      <c r="AF66" s="33">
        <v>0</v>
      </c>
      <c r="AG66" s="21"/>
    </row>
    <row r="67" spans="1:33" ht="13.5" customHeight="1" x14ac:dyDescent="0.3">
      <c r="A67" s="21"/>
      <c r="B67" s="175" t="s">
        <v>280</v>
      </c>
      <c r="C67" s="185" t="s">
        <v>53</v>
      </c>
      <c r="D67" s="174" t="s">
        <v>705</v>
      </c>
      <c r="E67" s="29" t="s">
        <v>154</v>
      </c>
      <c r="F67" s="29" t="s">
        <v>137</v>
      </c>
      <c r="G67" s="29">
        <v>8</v>
      </c>
      <c r="H67" s="32">
        <v>10</v>
      </c>
      <c r="I67" s="32">
        <f t="shared" si="4"/>
        <v>-2</v>
      </c>
      <c r="J67" s="32">
        <v>12</v>
      </c>
      <c r="K67" s="32">
        <f t="shared" si="5"/>
        <v>4</v>
      </c>
      <c r="L67" s="33">
        <v>0</v>
      </c>
      <c r="M67" s="33">
        <v>0</v>
      </c>
      <c r="N67" s="33">
        <v>0</v>
      </c>
      <c r="O67" s="33">
        <v>0</v>
      </c>
      <c r="P67" s="33">
        <v>0</v>
      </c>
      <c r="Q67" s="33">
        <v>0</v>
      </c>
      <c r="R67" s="33">
        <v>0</v>
      </c>
      <c r="S67" s="33">
        <v>0</v>
      </c>
      <c r="T67" s="33">
        <v>0</v>
      </c>
      <c r="U67" s="33">
        <v>0</v>
      </c>
      <c r="V67" s="33">
        <v>0</v>
      </c>
      <c r="W67" s="33">
        <v>0</v>
      </c>
      <c r="X67" s="33">
        <v>0</v>
      </c>
      <c r="Y67" s="33">
        <v>0</v>
      </c>
      <c r="Z67" s="33">
        <v>0</v>
      </c>
      <c r="AA67" s="33">
        <v>0</v>
      </c>
      <c r="AB67" s="33">
        <v>0</v>
      </c>
      <c r="AC67" s="33">
        <v>0</v>
      </c>
      <c r="AD67" s="33">
        <v>0</v>
      </c>
      <c r="AE67" s="33">
        <v>0</v>
      </c>
      <c r="AF67" s="33">
        <v>0</v>
      </c>
      <c r="AG67" s="21"/>
    </row>
    <row r="68" spans="1:33" ht="13.5" customHeight="1" x14ac:dyDescent="0.3">
      <c r="A68" s="21"/>
      <c r="B68" s="175" t="s">
        <v>282</v>
      </c>
      <c r="C68" s="185" t="s">
        <v>53</v>
      </c>
      <c r="D68" s="174" t="s">
        <v>706</v>
      </c>
      <c r="E68" s="29" t="s">
        <v>154</v>
      </c>
      <c r="F68" s="29" t="s">
        <v>137</v>
      </c>
      <c r="G68" s="29">
        <v>7</v>
      </c>
      <c r="H68" s="32"/>
      <c r="I68" s="32"/>
      <c r="J68" s="32"/>
      <c r="K68" s="32"/>
      <c r="L68" s="33">
        <v>0</v>
      </c>
      <c r="M68" s="33">
        <v>0</v>
      </c>
      <c r="N68" s="33">
        <v>0</v>
      </c>
      <c r="O68" s="33">
        <v>0</v>
      </c>
      <c r="P68" s="33">
        <v>0</v>
      </c>
      <c r="Q68" s="33">
        <v>0</v>
      </c>
      <c r="R68" s="33">
        <v>0</v>
      </c>
      <c r="S68" s="33">
        <v>0</v>
      </c>
      <c r="T68" s="33">
        <v>0</v>
      </c>
      <c r="U68" s="33">
        <v>0</v>
      </c>
      <c r="V68" s="33">
        <v>0</v>
      </c>
      <c r="W68" s="33">
        <v>0</v>
      </c>
      <c r="X68" s="33">
        <v>0</v>
      </c>
      <c r="Y68" s="33">
        <v>0</v>
      </c>
      <c r="Z68" s="33">
        <v>0</v>
      </c>
      <c r="AA68" s="33">
        <v>0</v>
      </c>
      <c r="AB68" s="33">
        <v>0</v>
      </c>
      <c r="AC68" s="33">
        <v>0</v>
      </c>
      <c r="AD68" s="33">
        <v>0</v>
      </c>
      <c r="AE68" s="33">
        <v>0</v>
      </c>
      <c r="AF68" s="33">
        <v>0</v>
      </c>
      <c r="AG68" s="21"/>
    </row>
    <row r="69" spans="1:33" ht="13.5" customHeight="1" x14ac:dyDescent="0.3">
      <c r="A69" s="21"/>
      <c r="B69" s="175" t="s">
        <v>284</v>
      </c>
      <c r="C69" s="185" t="s">
        <v>54</v>
      </c>
      <c r="D69" s="174" t="s">
        <v>707</v>
      </c>
      <c r="E69" s="172" t="s">
        <v>143</v>
      </c>
      <c r="F69" s="29" t="s">
        <v>137</v>
      </c>
      <c r="G69" s="29">
        <v>8</v>
      </c>
      <c r="H69" s="32"/>
      <c r="I69" s="32"/>
      <c r="J69" s="32"/>
      <c r="K69" s="32"/>
      <c r="L69" s="33">
        <v>0</v>
      </c>
      <c r="M69" s="33">
        <v>0</v>
      </c>
      <c r="N69" s="33">
        <v>0</v>
      </c>
      <c r="O69" s="33">
        <v>0</v>
      </c>
      <c r="P69" s="33">
        <v>0</v>
      </c>
      <c r="Q69" s="33">
        <v>0</v>
      </c>
      <c r="R69" s="33">
        <v>0</v>
      </c>
      <c r="S69" s="33">
        <v>0</v>
      </c>
      <c r="T69" s="33">
        <v>0</v>
      </c>
      <c r="U69" s="33">
        <v>0</v>
      </c>
      <c r="V69" s="33">
        <v>0</v>
      </c>
      <c r="W69" s="33">
        <v>0</v>
      </c>
      <c r="X69" s="33">
        <v>0</v>
      </c>
      <c r="Y69" s="33">
        <v>0</v>
      </c>
      <c r="Z69" s="33">
        <v>0</v>
      </c>
      <c r="AA69" s="33">
        <v>0</v>
      </c>
      <c r="AB69" s="33">
        <v>0</v>
      </c>
      <c r="AC69" s="33">
        <v>0</v>
      </c>
      <c r="AD69" s="33">
        <v>0</v>
      </c>
      <c r="AE69" s="33">
        <v>0</v>
      </c>
      <c r="AF69" s="33">
        <v>0</v>
      </c>
      <c r="AG69" s="21"/>
    </row>
    <row r="70" spans="1:33" ht="13.5" customHeight="1" x14ac:dyDescent="0.3">
      <c r="A70" s="21"/>
      <c r="B70" s="175" t="s">
        <v>327</v>
      </c>
      <c r="C70" s="185" t="s">
        <v>54</v>
      </c>
      <c r="D70" s="174" t="s">
        <v>711</v>
      </c>
      <c r="E70" s="172" t="s">
        <v>143</v>
      </c>
      <c r="F70" s="29" t="s">
        <v>137</v>
      </c>
      <c r="G70" s="29">
        <v>7</v>
      </c>
      <c r="H70" s="32"/>
      <c r="I70" s="32"/>
      <c r="J70" s="32"/>
      <c r="K70" s="32"/>
      <c r="L70" s="33">
        <v>0</v>
      </c>
      <c r="M70" s="33">
        <v>0</v>
      </c>
      <c r="N70" s="33">
        <v>0</v>
      </c>
      <c r="O70" s="33">
        <v>0</v>
      </c>
      <c r="P70" s="33">
        <v>0</v>
      </c>
      <c r="Q70" s="33">
        <v>0</v>
      </c>
      <c r="R70" s="33">
        <v>0</v>
      </c>
      <c r="S70" s="33">
        <v>0</v>
      </c>
      <c r="T70" s="33">
        <v>0</v>
      </c>
      <c r="U70" s="33">
        <v>0</v>
      </c>
      <c r="V70" s="33">
        <v>0</v>
      </c>
      <c r="W70" s="33">
        <v>0</v>
      </c>
      <c r="X70" s="33">
        <v>0</v>
      </c>
      <c r="Y70" s="33">
        <v>0</v>
      </c>
      <c r="Z70" s="33">
        <v>0</v>
      </c>
      <c r="AA70" s="33">
        <v>0</v>
      </c>
      <c r="AB70" s="33">
        <v>0</v>
      </c>
      <c r="AC70" s="33">
        <v>0</v>
      </c>
      <c r="AD70" s="33">
        <v>0</v>
      </c>
      <c r="AE70" s="33">
        <v>0</v>
      </c>
      <c r="AF70" s="33">
        <v>0</v>
      </c>
      <c r="AG70" s="21"/>
    </row>
    <row r="71" spans="1:33" ht="13.5" customHeight="1" x14ac:dyDescent="0.3">
      <c r="A71" s="21"/>
      <c r="B71" s="175" t="s">
        <v>286</v>
      </c>
      <c r="C71" s="185" t="s">
        <v>55</v>
      </c>
      <c r="D71" s="174" t="s">
        <v>708</v>
      </c>
      <c r="E71" s="172" t="s">
        <v>146</v>
      </c>
      <c r="F71" s="29" t="s">
        <v>137</v>
      </c>
      <c r="G71" s="29">
        <v>8</v>
      </c>
      <c r="H71" s="32"/>
      <c r="I71" s="32"/>
      <c r="J71" s="32"/>
      <c r="K71" s="32"/>
      <c r="L71" s="33">
        <v>0</v>
      </c>
      <c r="M71" s="33">
        <v>0</v>
      </c>
      <c r="N71" s="33">
        <v>0</v>
      </c>
      <c r="O71" s="33">
        <v>0</v>
      </c>
      <c r="P71" s="33">
        <v>0</v>
      </c>
      <c r="Q71" s="33">
        <v>0</v>
      </c>
      <c r="R71" s="33">
        <v>0</v>
      </c>
      <c r="S71" s="33">
        <v>0</v>
      </c>
      <c r="T71" s="33">
        <v>0</v>
      </c>
      <c r="U71" s="33">
        <v>0</v>
      </c>
      <c r="V71" s="33">
        <v>0</v>
      </c>
      <c r="W71" s="33">
        <v>0</v>
      </c>
      <c r="X71" s="33">
        <v>0</v>
      </c>
      <c r="Y71" s="33">
        <v>0</v>
      </c>
      <c r="Z71" s="33">
        <v>0</v>
      </c>
      <c r="AA71" s="33">
        <v>0</v>
      </c>
      <c r="AB71" s="33">
        <v>0</v>
      </c>
      <c r="AC71" s="33">
        <v>0</v>
      </c>
      <c r="AD71" s="33">
        <v>0</v>
      </c>
      <c r="AE71" s="33">
        <v>0</v>
      </c>
      <c r="AF71" s="33">
        <v>0</v>
      </c>
      <c r="AG71" s="21"/>
    </row>
    <row r="72" spans="1:33" ht="13.5" customHeight="1" x14ac:dyDescent="0.3">
      <c r="A72" s="21"/>
      <c r="B72" s="175" t="s">
        <v>288</v>
      </c>
      <c r="C72" s="185" t="s">
        <v>55</v>
      </c>
      <c r="D72" s="174" t="s">
        <v>712</v>
      </c>
      <c r="E72" s="172" t="s">
        <v>146</v>
      </c>
      <c r="F72" s="29" t="s">
        <v>137</v>
      </c>
      <c r="G72" s="29">
        <v>7</v>
      </c>
      <c r="H72" s="32"/>
      <c r="I72" s="32"/>
      <c r="J72" s="32"/>
      <c r="K72" s="32"/>
      <c r="L72" s="33">
        <v>0</v>
      </c>
      <c r="M72" s="33">
        <v>0</v>
      </c>
      <c r="N72" s="33">
        <v>0</v>
      </c>
      <c r="O72" s="33">
        <v>0</v>
      </c>
      <c r="P72" s="33">
        <v>0</v>
      </c>
      <c r="Q72" s="33">
        <v>0</v>
      </c>
      <c r="R72" s="33">
        <v>0</v>
      </c>
      <c r="S72" s="33">
        <v>0</v>
      </c>
      <c r="T72" s="33">
        <v>0</v>
      </c>
      <c r="U72" s="33">
        <v>0</v>
      </c>
      <c r="V72" s="33">
        <v>0</v>
      </c>
      <c r="W72" s="33">
        <v>0</v>
      </c>
      <c r="X72" s="33">
        <v>0</v>
      </c>
      <c r="Y72" s="33">
        <v>0</v>
      </c>
      <c r="Z72" s="33">
        <v>0</v>
      </c>
      <c r="AA72" s="33">
        <v>0</v>
      </c>
      <c r="AB72" s="33">
        <v>0</v>
      </c>
      <c r="AC72" s="33">
        <v>0</v>
      </c>
      <c r="AD72" s="33">
        <v>0</v>
      </c>
      <c r="AE72" s="33">
        <v>0</v>
      </c>
      <c r="AF72" s="33">
        <v>0</v>
      </c>
      <c r="AG72" s="21"/>
    </row>
    <row r="73" spans="1:33" ht="13.5" customHeight="1" x14ac:dyDescent="0.3">
      <c r="A73" s="21"/>
      <c r="B73" s="175" t="s">
        <v>290</v>
      </c>
      <c r="C73" s="185" t="s">
        <v>56</v>
      </c>
      <c r="D73" s="174" t="s">
        <v>709</v>
      </c>
      <c r="E73" s="172" t="s">
        <v>151</v>
      </c>
      <c r="F73" s="29" t="s">
        <v>137</v>
      </c>
      <c r="G73" s="29">
        <v>8</v>
      </c>
      <c r="H73" s="32"/>
      <c r="I73" s="32"/>
      <c r="J73" s="32"/>
      <c r="K73" s="32"/>
      <c r="L73" s="33">
        <v>0</v>
      </c>
      <c r="M73" s="33">
        <v>0</v>
      </c>
      <c r="N73" s="33">
        <v>0</v>
      </c>
      <c r="O73" s="33">
        <v>0</v>
      </c>
      <c r="P73" s="33">
        <v>0</v>
      </c>
      <c r="Q73" s="33">
        <v>0</v>
      </c>
      <c r="R73" s="33">
        <v>0</v>
      </c>
      <c r="S73" s="33">
        <v>0</v>
      </c>
      <c r="T73" s="33">
        <v>0</v>
      </c>
      <c r="U73" s="33">
        <v>0</v>
      </c>
      <c r="V73" s="33">
        <v>0</v>
      </c>
      <c r="W73" s="33">
        <v>0</v>
      </c>
      <c r="X73" s="33">
        <v>0</v>
      </c>
      <c r="Y73" s="33">
        <v>0</v>
      </c>
      <c r="Z73" s="33">
        <v>0</v>
      </c>
      <c r="AA73" s="33">
        <v>0</v>
      </c>
      <c r="AB73" s="33">
        <v>0</v>
      </c>
      <c r="AC73" s="33">
        <v>0</v>
      </c>
      <c r="AD73" s="33">
        <v>0</v>
      </c>
      <c r="AE73" s="33">
        <v>0</v>
      </c>
      <c r="AF73" s="33">
        <v>0</v>
      </c>
      <c r="AG73" s="21"/>
    </row>
    <row r="74" spans="1:33" ht="13.5" customHeight="1" x14ac:dyDescent="0.3">
      <c r="A74" s="21"/>
      <c r="B74" s="175" t="s">
        <v>291</v>
      </c>
      <c r="C74" s="185" t="s">
        <v>56</v>
      </c>
      <c r="D74" s="174" t="s">
        <v>713</v>
      </c>
      <c r="E74" s="172" t="s">
        <v>151</v>
      </c>
      <c r="F74" s="29" t="s">
        <v>137</v>
      </c>
      <c r="G74" s="29">
        <v>7</v>
      </c>
      <c r="H74" s="32"/>
      <c r="I74" s="32"/>
      <c r="J74" s="32"/>
      <c r="K74" s="32"/>
      <c r="L74" s="33">
        <v>0</v>
      </c>
      <c r="M74" s="33">
        <v>0</v>
      </c>
      <c r="N74" s="33">
        <v>0</v>
      </c>
      <c r="O74" s="33">
        <v>0</v>
      </c>
      <c r="P74" s="33">
        <v>0</v>
      </c>
      <c r="Q74" s="33">
        <v>0</v>
      </c>
      <c r="R74" s="33">
        <v>0</v>
      </c>
      <c r="S74" s="33">
        <v>0</v>
      </c>
      <c r="T74" s="33">
        <v>0</v>
      </c>
      <c r="U74" s="33">
        <v>0</v>
      </c>
      <c r="V74" s="33">
        <v>0</v>
      </c>
      <c r="W74" s="33">
        <v>0</v>
      </c>
      <c r="X74" s="33">
        <v>0</v>
      </c>
      <c r="Y74" s="33">
        <v>0</v>
      </c>
      <c r="Z74" s="33">
        <v>0</v>
      </c>
      <c r="AA74" s="33">
        <v>0</v>
      </c>
      <c r="AB74" s="33">
        <v>0</v>
      </c>
      <c r="AC74" s="33">
        <v>0</v>
      </c>
      <c r="AD74" s="33">
        <v>0</v>
      </c>
      <c r="AE74" s="33">
        <v>0</v>
      </c>
      <c r="AF74" s="33">
        <v>0</v>
      </c>
      <c r="AG74" s="21"/>
    </row>
    <row r="75" spans="1:33" ht="13.5" customHeight="1" x14ac:dyDescent="0.3">
      <c r="A75" s="21"/>
      <c r="B75" s="175" t="s">
        <v>293</v>
      </c>
      <c r="C75" s="185" t="s">
        <v>57</v>
      </c>
      <c r="D75" s="174" t="s">
        <v>710</v>
      </c>
      <c r="E75" s="172" t="s">
        <v>136</v>
      </c>
      <c r="F75" s="29" t="s">
        <v>137</v>
      </c>
      <c r="G75" s="29">
        <v>8</v>
      </c>
      <c r="H75" s="32"/>
      <c r="I75" s="32"/>
      <c r="J75" s="32"/>
      <c r="K75" s="32"/>
      <c r="L75" s="33">
        <v>0</v>
      </c>
      <c r="M75" s="33">
        <v>0</v>
      </c>
      <c r="N75" s="33">
        <v>0</v>
      </c>
      <c r="O75" s="33">
        <v>0</v>
      </c>
      <c r="P75" s="33">
        <v>0</v>
      </c>
      <c r="Q75" s="33">
        <v>0</v>
      </c>
      <c r="R75" s="33">
        <v>0</v>
      </c>
      <c r="S75" s="33">
        <v>0</v>
      </c>
      <c r="T75" s="33">
        <v>0</v>
      </c>
      <c r="U75" s="33">
        <v>0</v>
      </c>
      <c r="V75" s="33">
        <v>0</v>
      </c>
      <c r="W75" s="33">
        <v>0</v>
      </c>
      <c r="X75" s="33">
        <v>0</v>
      </c>
      <c r="Y75" s="33">
        <v>0</v>
      </c>
      <c r="Z75" s="33">
        <v>0</v>
      </c>
      <c r="AA75" s="33">
        <v>0</v>
      </c>
      <c r="AB75" s="33">
        <v>0</v>
      </c>
      <c r="AC75" s="33">
        <v>0</v>
      </c>
      <c r="AD75" s="33">
        <v>0</v>
      </c>
      <c r="AE75" s="33">
        <v>0</v>
      </c>
      <c r="AF75" s="33">
        <v>0</v>
      </c>
      <c r="AG75" s="21"/>
    </row>
    <row r="76" spans="1:33" ht="13.5" customHeight="1" x14ac:dyDescent="0.3">
      <c r="A76" s="21"/>
      <c r="B76" s="175" t="s">
        <v>295</v>
      </c>
      <c r="C76" s="185" t="s">
        <v>57</v>
      </c>
      <c r="D76" s="174" t="s">
        <v>714</v>
      </c>
      <c r="E76" s="172" t="s">
        <v>136</v>
      </c>
      <c r="F76" s="29" t="s">
        <v>137</v>
      </c>
      <c r="G76" s="29">
        <v>7</v>
      </c>
      <c r="H76" s="32"/>
      <c r="I76" s="32"/>
      <c r="J76" s="32"/>
      <c r="K76" s="32"/>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v>0</v>
      </c>
      <c r="AD76" s="33">
        <v>0</v>
      </c>
      <c r="AE76" s="33">
        <v>0</v>
      </c>
      <c r="AF76" s="33">
        <v>0</v>
      </c>
      <c r="AG76" s="21"/>
    </row>
    <row r="77" spans="1:33" ht="13.5" customHeight="1" x14ac:dyDescent="0.3">
      <c r="A77" s="21"/>
      <c r="B77" s="175" t="s">
        <v>571</v>
      </c>
      <c r="C77" s="185" t="s">
        <v>58</v>
      </c>
      <c r="D77" s="174" t="s">
        <v>272</v>
      </c>
      <c r="E77" s="172" t="s">
        <v>154</v>
      </c>
      <c r="F77" s="29" t="s">
        <v>137</v>
      </c>
      <c r="G77" s="29">
        <v>8</v>
      </c>
      <c r="H77" s="32"/>
      <c r="I77" s="32"/>
      <c r="J77" s="32"/>
      <c r="K77" s="32"/>
      <c r="L77" s="33">
        <v>0</v>
      </c>
      <c r="M77" s="33">
        <v>0</v>
      </c>
      <c r="N77" s="33">
        <v>0</v>
      </c>
      <c r="O77" s="33">
        <v>0</v>
      </c>
      <c r="P77" s="33">
        <v>0</v>
      </c>
      <c r="Q77" s="33">
        <v>0</v>
      </c>
      <c r="R77" s="33">
        <v>0</v>
      </c>
      <c r="S77" s="33">
        <v>0</v>
      </c>
      <c r="T77" s="33">
        <v>0</v>
      </c>
      <c r="U77" s="33">
        <v>0</v>
      </c>
      <c r="V77" s="33">
        <v>0</v>
      </c>
      <c r="W77" s="33">
        <v>0</v>
      </c>
      <c r="X77" s="33">
        <v>0</v>
      </c>
      <c r="Y77" s="33">
        <v>0</v>
      </c>
      <c r="Z77" s="33">
        <v>0</v>
      </c>
      <c r="AA77" s="33">
        <v>0</v>
      </c>
      <c r="AB77" s="33">
        <v>0</v>
      </c>
      <c r="AC77" s="33">
        <v>0</v>
      </c>
      <c r="AD77" s="33">
        <v>0</v>
      </c>
      <c r="AE77" s="33">
        <v>0</v>
      </c>
      <c r="AF77" s="33">
        <v>0</v>
      </c>
      <c r="AG77" s="21"/>
    </row>
    <row r="78" spans="1:33" ht="13.5" customHeight="1" x14ac:dyDescent="0.3">
      <c r="A78" s="21"/>
      <c r="B78" s="175" t="s">
        <v>572</v>
      </c>
      <c r="C78" s="185" t="s">
        <v>59</v>
      </c>
      <c r="D78" s="174" t="s">
        <v>681</v>
      </c>
      <c r="E78" s="172" t="s">
        <v>154</v>
      </c>
      <c r="F78" s="29" t="s">
        <v>137</v>
      </c>
      <c r="G78" s="29">
        <v>7</v>
      </c>
      <c r="H78" s="32"/>
      <c r="I78" s="32"/>
      <c r="J78" s="32"/>
      <c r="K78" s="32"/>
      <c r="L78" s="33">
        <v>0</v>
      </c>
      <c r="M78" s="33">
        <v>0</v>
      </c>
      <c r="N78" s="33">
        <v>0</v>
      </c>
      <c r="O78" s="33">
        <v>0</v>
      </c>
      <c r="P78" s="33">
        <v>0</v>
      </c>
      <c r="Q78" s="33">
        <v>0</v>
      </c>
      <c r="R78" s="33">
        <v>0</v>
      </c>
      <c r="S78" s="33">
        <v>0</v>
      </c>
      <c r="T78" s="33">
        <v>0</v>
      </c>
      <c r="U78" s="33">
        <v>0</v>
      </c>
      <c r="V78" s="33">
        <v>0</v>
      </c>
      <c r="W78" s="33">
        <v>0</v>
      </c>
      <c r="X78" s="33">
        <v>0</v>
      </c>
      <c r="Y78" s="33">
        <v>0</v>
      </c>
      <c r="Z78" s="33">
        <v>0</v>
      </c>
      <c r="AA78" s="33">
        <v>0</v>
      </c>
      <c r="AB78" s="33">
        <v>0</v>
      </c>
      <c r="AC78" s="33">
        <v>0</v>
      </c>
      <c r="AD78" s="33">
        <v>0</v>
      </c>
      <c r="AE78" s="33">
        <v>0</v>
      </c>
      <c r="AF78" s="33">
        <v>0</v>
      </c>
      <c r="AG78" s="21"/>
    </row>
    <row r="79" spans="1:33" ht="13.5" customHeight="1" x14ac:dyDescent="0.3">
      <c r="A79" s="21"/>
      <c r="B79" s="175" t="s">
        <v>573</v>
      </c>
      <c r="C79" s="185" t="s">
        <v>60</v>
      </c>
      <c r="D79" s="174" t="s">
        <v>682</v>
      </c>
      <c r="E79" s="172" t="s">
        <v>143</v>
      </c>
      <c r="F79" s="29" t="s">
        <v>137</v>
      </c>
      <c r="G79" s="29">
        <v>8</v>
      </c>
      <c r="H79" s="32"/>
      <c r="I79" s="32"/>
      <c r="J79" s="32"/>
      <c r="K79" s="32"/>
      <c r="L79" s="33">
        <v>0</v>
      </c>
      <c r="M79" s="33">
        <v>0</v>
      </c>
      <c r="N79" s="33">
        <v>0</v>
      </c>
      <c r="O79" s="33">
        <v>0</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21"/>
    </row>
    <row r="80" spans="1:33" ht="13.5" customHeight="1" x14ac:dyDescent="0.3">
      <c r="A80" s="21"/>
      <c r="B80" s="175" t="s">
        <v>574</v>
      </c>
      <c r="C80" s="185" t="s">
        <v>61</v>
      </c>
      <c r="D80" s="174" t="s">
        <v>683</v>
      </c>
      <c r="E80" s="172" t="s">
        <v>146</v>
      </c>
      <c r="F80" s="29" t="s">
        <v>137</v>
      </c>
      <c r="G80" s="29">
        <v>7</v>
      </c>
      <c r="H80" s="32"/>
      <c r="I80" s="32"/>
      <c r="J80" s="32"/>
      <c r="K80" s="32"/>
      <c r="L80" s="33">
        <v>0</v>
      </c>
      <c r="M80" s="33">
        <v>0</v>
      </c>
      <c r="N80" s="33">
        <v>0</v>
      </c>
      <c r="O80" s="33">
        <v>0</v>
      </c>
      <c r="P80" s="33">
        <v>0</v>
      </c>
      <c r="Q80" s="33">
        <v>0</v>
      </c>
      <c r="R80" s="33">
        <v>0</v>
      </c>
      <c r="S80" s="33">
        <v>0</v>
      </c>
      <c r="T80" s="33">
        <v>0</v>
      </c>
      <c r="U80" s="33">
        <v>0</v>
      </c>
      <c r="V80" s="33">
        <v>0</v>
      </c>
      <c r="W80" s="33">
        <v>0</v>
      </c>
      <c r="X80" s="33">
        <v>0</v>
      </c>
      <c r="Y80" s="33">
        <v>0</v>
      </c>
      <c r="Z80" s="33">
        <v>0</v>
      </c>
      <c r="AA80" s="33">
        <v>0</v>
      </c>
      <c r="AB80" s="33">
        <v>0</v>
      </c>
      <c r="AC80" s="33">
        <v>0</v>
      </c>
      <c r="AD80" s="33">
        <v>0</v>
      </c>
      <c r="AE80" s="33">
        <v>0</v>
      </c>
      <c r="AF80" s="33">
        <v>0</v>
      </c>
      <c r="AG80" s="21"/>
    </row>
    <row r="81" spans="1:33" ht="13.5" customHeight="1" x14ac:dyDescent="0.3">
      <c r="A81" s="21"/>
      <c r="B81" s="175" t="s">
        <v>575</v>
      </c>
      <c r="C81" s="185" t="s">
        <v>63</v>
      </c>
      <c r="D81" s="174" t="s">
        <v>684</v>
      </c>
      <c r="E81" s="172" t="s">
        <v>151</v>
      </c>
      <c r="F81" s="29" t="s">
        <v>137</v>
      </c>
      <c r="G81" s="29">
        <v>8</v>
      </c>
      <c r="H81" s="32"/>
      <c r="I81" s="32"/>
      <c r="J81" s="32"/>
      <c r="K81" s="32"/>
      <c r="L81" s="33">
        <v>0</v>
      </c>
      <c r="M81" s="33">
        <v>0</v>
      </c>
      <c r="N81" s="33">
        <v>0</v>
      </c>
      <c r="O81" s="33">
        <v>0</v>
      </c>
      <c r="P81" s="33">
        <v>0</v>
      </c>
      <c r="Q81" s="33">
        <v>0</v>
      </c>
      <c r="R81" s="33">
        <v>0</v>
      </c>
      <c r="S81" s="33">
        <v>0</v>
      </c>
      <c r="T81" s="33">
        <v>0</v>
      </c>
      <c r="U81" s="33">
        <v>0</v>
      </c>
      <c r="V81" s="33">
        <v>0</v>
      </c>
      <c r="W81" s="33">
        <v>0</v>
      </c>
      <c r="X81" s="33">
        <v>0</v>
      </c>
      <c r="Y81" s="33">
        <v>0</v>
      </c>
      <c r="Z81" s="33">
        <v>0</v>
      </c>
      <c r="AA81" s="33">
        <v>0</v>
      </c>
      <c r="AB81" s="33">
        <v>0</v>
      </c>
      <c r="AC81" s="33">
        <v>0</v>
      </c>
      <c r="AD81" s="33">
        <v>0</v>
      </c>
      <c r="AE81" s="33">
        <v>0</v>
      </c>
      <c r="AF81" s="33">
        <v>0</v>
      </c>
      <c r="AG81" s="21"/>
    </row>
    <row r="82" spans="1:33" ht="13.5" customHeight="1" x14ac:dyDescent="0.3">
      <c r="A82" s="21"/>
      <c r="B82" s="175" t="s">
        <v>576</v>
      </c>
      <c r="C82" s="185" t="s">
        <v>65</v>
      </c>
      <c r="D82" s="174" t="s">
        <v>685</v>
      </c>
      <c r="E82" s="172" t="s">
        <v>136</v>
      </c>
      <c r="F82" s="29" t="s">
        <v>137</v>
      </c>
      <c r="G82" s="29">
        <v>7</v>
      </c>
      <c r="H82" s="32"/>
      <c r="I82" s="32"/>
      <c r="J82" s="32"/>
      <c r="K82" s="32"/>
      <c r="L82" s="33">
        <v>0</v>
      </c>
      <c r="M82" s="33">
        <v>0</v>
      </c>
      <c r="N82" s="33">
        <v>0</v>
      </c>
      <c r="O82" s="33">
        <v>0</v>
      </c>
      <c r="P82" s="33">
        <v>0</v>
      </c>
      <c r="Q82" s="33">
        <v>0</v>
      </c>
      <c r="R82" s="33">
        <v>0</v>
      </c>
      <c r="S82" s="33">
        <v>0</v>
      </c>
      <c r="T82" s="33">
        <v>0</v>
      </c>
      <c r="U82" s="33">
        <v>0</v>
      </c>
      <c r="V82" s="33">
        <v>0</v>
      </c>
      <c r="W82" s="33">
        <v>0</v>
      </c>
      <c r="X82" s="33">
        <v>0</v>
      </c>
      <c r="Y82" s="33">
        <v>0</v>
      </c>
      <c r="Z82" s="33">
        <v>0</v>
      </c>
      <c r="AA82" s="33">
        <v>0</v>
      </c>
      <c r="AB82" s="33">
        <v>0</v>
      </c>
      <c r="AC82" s="33">
        <v>0</v>
      </c>
      <c r="AD82" s="33">
        <v>0</v>
      </c>
      <c r="AE82" s="33">
        <v>0</v>
      </c>
      <c r="AF82" s="33">
        <v>0</v>
      </c>
      <c r="AG82" s="21"/>
    </row>
    <row r="83" spans="1:33" ht="13.5" customHeight="1" x14ac:dyDescent="0.3">
      <c r="A83" s="21"/>
      <c r="B83" s="175" t="s">
        <v>577</v>
      </c>
      <c r="C83" s="185" t="s">
        <v>68</v>
      </c>
      <c r="D83" s="174" t="s">
        <v>318</v>
      </c>
      <c r="E83" s="172" t="s">
        <v>154</v>
      </c>
      <c r="F83" s="29" t="s">
        <v>137</v>
      </c>
      <c r="G83" s="29">
        <v>8</v>
      </c>
      <c r="H83" s="32"/>
      <c r="I83" s="32"/>
      <c r="J83" s="32"/>
      <c r="K83" s="32"/>
      <c r="L83" s="33">
        <v>0</v>
      </c>
      <c r="M83" s="33">
        <v>0</v>
      </c>
      <c r="N83" s="33">
        <v>0</v>
      </c>
      <c r="O83" s="33">
        <v>0</v>
      </c>
      <c r="P83" s="33">
        <v>0</v>
      </c>
      <c r="Q83" s="33">
        <v>0</v>
      </c>
      <c r="R83" s="33">
        <v>0</v>
      </c>
      <c r="S83" s="33">
        <v>0</v>
      </c>
      <c r="T83" s="33">
        <v>0</v>
      </c>
      <c r="U83" s="33">
        <v>0</v>
      </c>
      <c r="V83" s="33">
        <v>0</v>
      </c>
      <c r="W83" s="33">
        <v>0</v>
      </c>
      <c r="X83" s="33">
        <v>0</v>
      </c>
      <c r="Y83" s="33">
        <v>0</v>
      </c>
      <c r="Z83" s="33">
        <v>0</v>
      </c>
      <c r="AA83" s="33">
        <v>0</v>
      </c>
      <c r="AB83" s="33">
        <v>0</v>
      </c>
      <c r="AC83" s="33">
        <v>0</v>
      </c>
      <c r="AD83" s="33">
        <v>0</v>
      </c>
      <c r="AE83" s="33">
        <v>0</v>
      </c>
      <c r="AF83" s="33">
        <v>0</v>
      </c>
      <c r="AG83" s="21"/>
    </row>
    <row r="84" spans="1:33" ht="13.5" customHeight="1" x14ac:dyDescent="0.3">
      <c r="A84" s="21"/>
      <c r="B84" s="175" t="s">
        <v>578</v>
      </c>
      <c r="C84" s="185" t="s">
        <v>68</v>
      </c>
      <c r="D84" s="174" t="s">
        <v>319</v>
      </c>
      <c r="E84" s="172" t="s">
        <v>154</v>
      </c>
      <c r="F84" s="29" t="s">
        <v>137</v>
      </c>
      <c r="G84" s="29">
        <v>7</v>
      </c>
      <c r="H84" s="32">
        <v>8</v>
      </c>
      <c r="I84" s="32">
        <f>G84-H84</f>
        <v>-1</v>
      </c>
      <c r="J84" s="32">
        <v>9</v>
      </c>
      <c r="K84" s="32">
        <f>SUM(J84-G84)</f>
        <v>2</v>
      </c>
      <c r="L84" s="33">
        <v>0</v>
      </c>
      <c r="M84" s="33">
        <v>0</v>
      </c>
      <c r="N84" s="33">
        <v>0</v>
      </c>
      <c r="O84" s="33">
        <v>0</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21"/>
    </row>
    <row r="85" spans="1:33" ht="13.5" customHeight="1" x14ac:dyDescent="0.3">
      <c r="A85" s="21"/>
      <c r="B85" s="36"/>
      <c r="C85" s="44"/>
      <c r="D85" s="45"/>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21"/>
    </row>
    <row r="86" spans="1:33" ht="13.5" customHeight="1" x14ac:dyDescent="0.3">
      <c r="A86" s="21"/>
      <c r="B86" s="175" t="s">
        <v>575</v>
      </c>
      <c r="C86" s="39" t="s">
        <v>33</v>
      </c>
      <c r="D86" s="173" t="s">
        <v>215</v>
      </c>
      <c r="E86" s="172" t="s">
        <v>146</v>
      </c>
      <c r="F86" s="29" t="s">
        <v>137</v>
      </c>
      <c r="G86" s="29">
        <v>3</v>
      </c>
      <c r="H86" s="32">
        <v>3</v>
      </c>
      <c r="I86" s="32">
        <f t="shared" ref="I86:I108" si="6">G86-H86</f>
        <v>0</v>
      </c>
      <c r="J86" s="32">
        <v>4</v>
      </c>
      <c r="K86" s="32">
        <f t="shared" ref="K86:K108" si="7">SUM(J86-G86)</f>
        <v>1</v>
      </c>
      <c r="L86" s="33">
        <v>0</v>
      </c>
      <c r="M86" s="33">
        <v>0</v>
      </c>
      <c r="N86" s="33">
        <v>0</v>
      </c>
      <c r="O86" s="33">
        <v>0</v>
      </c>
      <c r="P86" s="33">
        <v>0</v>
      </c>
      <c r="Q86" s="33">
        <v>0</v>
      </c>
      <c r="R86" s="33">
        <v>0</v>
      </c>
      <c r="S86" s="33">
        <v>0</v>
      </c>
      <c r="T86" s="33">
        <v>0</v>
      </c>
      <c r="U86" s="33">
        <v>0</v>
      </c>
      <c r="V86" s="33">
        <v>0</v>
      </c>
      <c r="W86" s="33">
        <v>0</v>
      </c>
      <c r="X86" s="33">
        <v>0</v>
      </c>
      <c r="Y86" s="33">
        <v>0</v>
      </c>
      <c r="Z86" s="33">
        <v>0</v>
      </c>
      <c r="AA86" s="33">
        <v>0</v>
      </c>
      <c r="AB86" s="33">
        <v>1</v>
      </c>
      <c r="AC86" s="33">
        <v>1</v>
      </c>
      <c r="AD86" s="33">
        <v>1</v>
      </c>
      <c r="AE86" s="33">
        <v>0</v>
      </c>
      <c r="AF86" s="33">
        <v>0</v>
      </c>
      <c r="AG86" s="21"/>
    </row>
    <row r="87" spans="1:33" ht="13.5" customHeight="1" x14ac:dyDescent="0.3">
      <c r="A87" s="21"/>
      <c r="B87" s="175" t="s">
        <v>576</v>
      </c>
      <c r="C87" s="39" t="s">
        <v>36</v>
      </c>
      <c r="D87" s="173" t="s">
        <v>217</v>
      </c>
      <c r="E87" s="172" t="s">
        <v>146</v>
      </c>
      <c r="F87" s="29" t="s">
        <v>137</v>
      </c>
      <c r="G87" s="29">
        <v>3</v>
      </c>
      <c r="H87" s="32">
        <v>2</v>
      </c>
      <c r="I87" s="32">
        <f t="shared" si="6"/>
        <v>1</v>
      </c>
      <c r="J87" s="32">
        <v>3</v>
      </c>
      <c r="K87" s="32">
        <f t="shared" si="7"/>
        <v>0</v>
      </c>
      <c r="L87" s="33">
        <v>0</v>
      </c>
      <c r="M87" s="33">
        <v>0</v>
      </c>
      <c r="N87" s="33">
        <v>0</v>
      </c>
      <c r="O87" s="33">
        <v>0</v>
      </c>
      <c r="P87" s="33">
        <v>0</v>
      </c>
      <c r="Q87" s="33">
        <v>0</v>
      </c>
      <c r="R87" s="33">
        <v>0</v>
      </c>
      <c r="S87" s="33">
        <v>0</v>
      </c>
      <c r="T87" s="33">
        <v>0</v>
      </c>
      <c r="U87" s="33">
        <v>0</v>
      </c>
      <c r="V87" s="33">
        <v>0</v>
      </c>
      <c r="W87" s="33">
        <v>0</v>
      </c>
      <c r="X87" s="33">
        <v>0</v>
      </c>
      <c r="Y87" s="33">
        <v>0</v>
      </c>
      <c r="Z87" s="33">
        <v>0</v>
      </c>
      <c r="AA87" s="33">
        <v>0</v>
      </c>
      <c r="AB87" s="33">
        <v>1</v>
      </c>
      <c r="AC87" s="33">
        <v>1</v>
      </c>
      <c r="AD87" s="33">
        <v>1</v>
      </c>
      <c r="AE87" s="33">
        <v>0</v>
      </c>
      <c r="AF87" s="33">
        <v>0</v>
      </c>
      <c r="AG87" s="21"/>
    </row>
    <row r="88" spans="1:33" ht="13.5" customHeight="1" x14ac:dyDescent="0.3">
      <c r="A88" s="21"/>
      <c r="B88" s="175" t="s">
        <v>577</v>
      </c>
      <c r="C88" s="39" t="s">
        <v>39</v>
      </c>
      <c r="D88" s="173" t="s">
        <v>225</v>
      </c>
      <c r="E88" s="172" t="s">
        <v>154</v>
      </c>
      <c r="F88" s="29" t="s">
        <v>137</v>
      </c>
      <c r="G88" s="29">
        <v>3</v>
      </c>
      <c r="H88" s="32">
        <v>5</v>
      </c>
      <c r="I88" s="32">
        <f t="shared" si="6"/>
        <v>-2</v>
      </c>
      <c r="J88" s="32">
        <v>5</v>
      </c>
      <c r="K88" s="32">
        <f t="shared" si="7"/>
        <v>2</v>
      </c>
      <c r="L88" s="33">
        <v>0</v>
      </c>
      <c r="M88" s="33">
        <v>0</v>
      </c>
      <c r="N88" s="33">
        <v>0</v>
      </c>
      <c r="O88" s="33">
        <v>0</v>
      </c>
      <c r="P88" s="33">
        <v>0</v>
      </c>
      <c r="Q88" s="33">
        <v>0</v>
      </c>
      <c r="R88" s="33">
        <v>0</v>
      </c>
      <c r="S88" s="33">
        <v>0</v>
      </c>
      <c r="T88" s="33">
        <v>0</v>
      </c>
      <c r="U88" s="33">
        <v>0</v>
      </c>
      <c r="V88" s="33">
        <v>0</v>
      </c>
      <c r="W88" s="33">
        <v>0</v>
      </c>
      <c r="X88" s="33">
        <v>0</v>
      </c>
      <c r="Y88" s="33">
        <v>0</v>
      </c>
      <c r="Z88" s="33">
        <v>0</v>
      </c>
      <c r="AA88" s="33">
        <v>0</v>
      </c>
      <c r="AB88" s="33">
        <v>1</v>
      </c>
      <c r="AC88" s="33">
        <v>1</v>
      </c>
      <c r="AD88" s="33">
        <v>1</v>
      </c>
      <c r="AE88" s="33">
        <v>0</v>
      </c>
      <c r="AF88" s="33">
        <v>0</v>
      </c>
      <c r="AG88" s="21"/>
    </row>
    <row r="89" spans="1:33" ht="13.5" customHeight="1" x14ac:dyDescent="0.3">
      <c r="A89" s="21"/>
      <c r="B89" s="175" t="s">
        <v>578</v>
      </c>
      <c r="C89" s="39" t="s">
        <v>40</v>
      </c>
      <c r="D89" s="173" t="s">
        <v>587</v>
      </c>
      <c r="E89" s="172" t="s">
        <v>154</v>
      </c>
      <c r="F89" s="29" t="s">
        <v>137</v>
      </c>
      <c r="G89" s="29">
        <v>3</v>
      </c>
      <c r="H89" s="32">
        <v>4</v>
      </c>
      <c r="I89" s="32">
        <f t="shared" si="6"/>
        <v>-1</v>
      </c>
      <c r="J89" s="32">
        <v>4</v>
      </c>
      <c r="K89" s="32">
        <f t="shared" si="7"/>
        <v>1</v>
      </c>
      <c r="L89" s="33">
        <v>0</v>
      </c>
      <c r="M89" s="33">
        <v>0</v>
      </c>
      <c r="N89" s="33">
        <v>0</v>
      </c>
      <c r="O89" s="33">
        <v>0</v>
      </c>
      <c r="P89" s="33">
        <v>0</v>
      </c>
      <c r="Q89" s="33">
        <v>0</v>
      </c>
      <c r="R89" s="33">
        <v>0</v>
      </c>
      <c r="S89" s="33">
        <v>0</v>
      </c>
      <c r="T89" s="33">
        <v>0</v>
      </c>
      <c r="U89" s="33">
        <v>0</v>
      </c>
      <c r="V89" s="33">
        <v>0</v>
      </c>
      <c r="W89" s="33">
        <v>0</v>
      </c>
      <c r="X89" s="33">
        <v>0</v>
      </c>
      <c r="Y89" s="33">
        <v>0</v>
      </c>
      <c r="Z89" s="33">
        <v>0</v>
      </c>
      <c r="AA89" s="33">
        <v>0</v>
      </c>
      <c r="AB89" s="33">
        <v>1</v>
      </c>
      <c r="AC89" s="33">
        <v>1</v>
      </c>
      <c r="AD89" s="33">
        <v>1</v>
      </c>
      <c r="AE89" s="33">
        <v>0</v>
      </c>
      <c r="AF89" s="33">
        <v>0</v>
      </c>
      <c r="AG89" s="21"/>
    </row>
    <row r="90" spans="1:33" ht="13.5" customHeight="1" x14ac:dyDescent="0.3">
      <c r="A90" s="21"/>
      <c r="B90" s="175" t="s">
        <v>579</v>
      </c>
      <c r="C90" s="39" t="s">
        <v>43</v>
      </c>
      <c r="D90" s="173" t="s">
        <v>588</v>
      </c>
      <c r="E90" s="172" t="s">
        <v>143</v>
      </c>
      <c r="F90" s="29" t="s">
        <v>137</v>
      </c>
      <c r="G90" s="29">
        <v>3</v>
      </c>
      <c r="H90" s="32"/>
      <c r="I90" s="32"/>
      <c r="J90" s="32"/>
      <c r="K90" s="32"/>
      <c r="L90" s="33">
        <v>0</v>
      </c>
      <c r="M90" s="33">
        <v>0</v>
      </c>
      <c r="N90" s="33">
        <v>0</v>
      </c>
      <c r="O90" s="33">
        <v>0</v>
      </c>
      <c r="P90" s="33">
        <v>0</v>
      </c>
      <c r="Q90" s="33">
        <v>0</v>
      </c>
      <c r="R90" s="33">
        <v>0</v>
      </c>
      <c r="S90" s="33">
        <v>0</v>
      </c>
      <c r="T90" s="33">
        <v>0</v>
      </c>
      <c r="U90" s="33">
        <v>0</v>
      </c>
      <c r="V90" s="33">
        <v>0</v>
      </c>
      <c r="W90" s="33">
        <v>0</v>
      </c>
      <c r="X90" s="33">
        <v>0</v>
      </c>
      <c r="Y90" s="33">
        <v>0</v>
      </c>
      <c r="Z90" s="33">
        <v>0</v>
      </c>
      <c r="AA90" s="33">
        <v>0</v>
      </c>
      <c r="AB90" s="33">
        <v>1</v>
      </c>
      <c r="AC90" s="33">
        <v>1</v>
      </c>
      <c r="AD90" s="33">
        <v>1</v>
      </c>
      <c r="AE90" s="33">
        <v>0</v>
      </c>
      <c r="AF90" s="33">
        <v>0</v>
      </c>
      <c r="AG90" s="21"/>
    </row>
    <row r="91" spans="1:33" ht="13.5" customHeight="1" x14ac:dyDescent="0.3">
      <c r="A91" s="21"/>
      <c r="B91" s="175" t="s">
        <v>580</v>
      </c>
      <c r="C91" s="39" t="s">
        <v>46</v>
      </c>
      <c r="D91" s="173" t="s">
        <v>589</v>
      </c>
      <c r="E91" s="172" t="s">
        <v>146</v>
      </c>
      <c r="F91" s="29" t="s">
        <v>137</v>
      </c>
      <c r="G91" s="29">
        <v>3</v>
      </c>
      <c r="H91" s="32">
        <v>2</v>
      </c>
      <c r="I91" s="32">
        <f t="shared" si="6"/>
        <v>1</v>
      </c>
      <c r="J91" s="32">
        <v>3</v>
      </c>
      <c r="K91" s="32">
        <f t="shared" si="7"/>
        <v>0</v>
      </c>
      <c r="L91" s="33">
        <v>0</v>
      </c>
      <c r="M91" s="33">
        <v>0</v>
      </c>
      <c r="N91" s="33">
        <v>0</v>
      </c>
      <c r="O91" s="33">
        <v>0</v>
      </c>
      <c r="P91" s="33">
        <v>0</v>
      </c>
      <c r="Q91" s="33">
        <v>0</v>
      </c>
      <c r="R91" s="33">
        <v>0</v>
      </c>
      <c r="S91" s="33">
        <v>0</v>
      </c>
      <c r="T91" s="33">
        <v>0</v>
      </c>
      <c r="U91" s="33">
        <v>0</v>
      </c>
      <c r="V91" s="33">
        <v>0</v>
      </c>
      <c r="W91" s="33">
        <v>0</v>
      </c>
      <c r="X91" s="33">
        <v>0</v>
      </c>
      <c r="Y91" s="33">
        <v>0</v>
      </c>
      <c r="Z91" s="33">
        <v>0</v>
      </c>
      <c r="AA91" s="33">
        <v>0</v>
      </c>
      <c r="AB91" s="33">
        <v>1</v>
      </c>
      <c r="AC91" s="33">
        <v>1</v>
      </c>
      <c r="AD91" s="33">
        <v>1</v>
      </c>
      <c r="AE91" s="33">
        <v>0</v>
      </c>
      <c r="AF91" s="33">
        <v>0</v>
      </c>
      <c r="AG91" s="21"/>
    </row>
    <row r="92" spans="1:33" ht="13.5" customHeight="1" x14ac:dyDescent="0.3">
      <c r="A92" s="21"/>
      <c r="B92" s="175" t="s">
        <v>581</v>
      </c>
      <c r="C92" s="39" t="s">
        <v>47</v>
      </c>
      <c r="D92" s="173" t="s">
        <v>590</v>
      </c>
      <c r="E92" s="172" t="s">
        <v>151</v>
      </c>
      <c r="F92" s="29" t="s">
        <v>137</v>
      </c>
      <c r="G92" s="29">
        <v>3</v>
      </c>
      <c r="H92" s="32"/>
      <c r="I92" s="32"/>
      <c r="J92" s="32"/>
      <c r="K92" s="32"/>
      <c r="L92" s="33">
        <v>0</v>
      </c>
      <c r="M92" s="33">
        <v>0</v>
      </c>
      <c r="N92" s="33">
        <v>0</v>
      </c>
      <c r="O92" s="33">
        <v>0</v>
      </c>
      <c r="P92" s="33">
        <v>0</v>
      </c>
      <c r="Q92" s="33">
        <v>0</v>
      </c>
      <c r="R92" s="33">
        <v>0</v>
      </c>
      <c r="S92" s="33">
        <v>0</v>
      </c>
      <c r="T92" s="33">
        <v>0</v>
      </c>
      <c r="U92" s="33">
        <v>0</v>
      </c>
      <c r="V92" s="33">
        <v>0</v>
      </c>
      <c r="W92" s="33">
        <v>0</v>
      </c>
      <c r="X92" s="33">
        <v>0</v>
      </c>
      <c r="Y92" s="33">
        <v>0</v>
      </c>
      <c r="Z92" s="33">
        <v>0</v>
      </c>
      <c r="AA92" s="33">
        <v>0</v>
      </c>
      <c r="AB92" s="33">
        <v>1</v>
      </c>
      <c r="AC92" s="33">
        <v>1</v>
      </c>
      <c r="AD92" s="33">
        <v>1</v>
      </c>
      <c r="AE92" s="33">
        <v>0</v>
      </c>
      <c r="AF92" s="33">
        <v>0</v>
      </c>
      <c r="AG92" s="21"/>
    </row>
    <row r="93" spans="1:33" ht="13.5" customHeight="1" x14ac:dyDescent="0.3">
      <c r="A93" s="21"/>
      <c r="B93" s="175" t="s">
        <v>582</v>
      </c>
      <c r="C93" s="39" t="s">
        <v>48</v>
      </c>
      <c r="D93" s="173" t="s">
        <v>591</v>
      </c>
      <c r="E93" s="172" t="s">
        <v>136</v>
      </c>
      <c r="F93" s="29" t="s">
        <v>137</v>
      </c>
      <c r="G93" s="29">
        <v>3</v>
      </c>
      <c r="H93" s="32"/>
      <c r="I93" s="32"/>
      <c r="J93" s="32"/>
      <c r="K93" s="32"/>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1</v>
      </c>
      <c r="AC93" s="33">
        <v>1</v>
      </c>
      <c r="AD93" s="33">
        <v>1</v>
      </c>
      <c r="AE93" s="33">
        <v>0</v>
      </c>
      <c r="AF93" s="33">
        <v>0</v>
      </c>
      <c r="AG93" s="21"/>
    </row>
    <row r="94" spans="1:33" ht="13.5" customHeight="1" x14ac:dyDescent="0.3">
      <c r="A94" s="21"/>
      <c r="B94" s="175" t="s">
        <v>583</v>
      </c>
      <c r="C94" s="39" t="s">
        <v>49</v>
      </c>
      <c r="D94" s="173" t="s">
        <v>220</v>
      </c>
      <c r="E94" s="172" t="s">
        <v>471</v>
      </c>
      <c r="F94" s="29" t="s">
        <v>137</v>
      </c>
      <c r="G94" s="29">
        <v>3</v>
      </c>
      <c r="H94" s="32"/>
      <c r="I94" s="32"/>
      <c r="J94" s="32"/>
      <c r="K94" s="32"/>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1</v>
      </c>
      <c r="AC94" s="33">
        <v>1</v>
      </c>
      <c r="AD94" s="33">
        <v>1</v>
      </c>
      <c r="AE94" s="33">
        <v>0</v>
      </c>
      <c r="AF94" s="33">
        <v>0</v>
      </c>
      <c r="AG94" s="21"/>
    </row>
    <row r="95" spans="1:33" ht="13.5" customHeight="1" x14ac:dyDescent="0.3">
      <c r="A95" s="21"/>
      <c r="B95" s="175" t="s">
        <v>584</v>
      </c>
      <c r="C95" s="39" t="s">
        <v>51</v>
      </c>
      <c r="D95" s="173" t="s">
        <v>222</v>
      </c>
      <c r="E95" s="172" t="s">
        <v>154</v>
      </c>
      <c r="F95" s="29" t="s">
        <v>137</v>
      </c>
      <c r="G95" s="29">
        <v>3</v>
      </c>
      <c r="H95" s="32"/>
      <c r="I95" s="32"/>
      <c r="J95" s="32"/>
      <c r="K95" s="32"/>
      <c r="L95" s="33">
        <v>0</v>
      </c>
      <c r="M95" s="33">
        <v>0</v>
      </c>
      <c r="N95" s="33">
        <v>0</v>
      </c>
      <c r="O95" s="33">
        <v>0</v>
      </c>
      <c r="P95" s="33">
        <v>0</v>
      </c>
      <c r="Q95" s="33">
        <v>0</v>
      </c>
      <c r="R95" s="33">
        <v>0</v>
      </c>
      <c r="S95" s="33">
        <v>0</v>
      </c>
      <c r="T95" s="33">
        <v>0</v>
      </c>
      <c r="U95" s="33">
        <v>0</v>
      </c>
      <c r="V95" s="33">
        <v>0</v>
      </c>
      <c r="W95" s="33">
        <v>0</v>
      </c>
      <c r="X95" s="33">
        <v>0</v>
      </c>
      <c r="Y95" s="33">
        <v>0</v>
      </c>
      <c r="Z95" s="33">
        <v>0</v>
      </c>
      <c r="AA95" s="33">
        <v>0</v>
      </c>
      <c r="AB95" s="33">
        <v>1</v>
      </c>
      <c r="AC95" s="33">
        <v>1</v>
      </c>
      <c r="AD95" s="33">
        <v>1</v>
      </c>
      <c r="AE95" s="33">
        <v>0</v>
      </c>
      <c r="AF95" s="33">
        <v>0</v>
      </c>
      <c r="AG95" s="21"/>
    </row>
    <row r="96" spans="1:33" ht="13.5" customHeight="1" x14ac:dyDescent="0.3">
      <c r="A96" s="21"/>
      <c r="B96" s="175" t="s">
        <v>585</v>
      </c>
      <c r="C96" s="39" t="s">
        <v>52</v>
      </c>
      <c r="D96" s="174" t="s">
        <v>228</v>
      </c>
      <c r="E96" s="172" t="s">
        <v>154</v>
      </c>
      <c r="F96" s="29" t="s">
        <v>137</v>
      </c>
      <c r="G96" s="29">
        <v>3</v>
      </c>
      <c r="H96" s="32">
        <v>3</v>
      </c>
      <c r="I96" s="32">
        <f t="shared" si="6"/>
        <v>0</v>
      </c>
      <c r="J96" s="32">
        <v>4</v>
      </c>
      <c r="K96" s="32">
        <f t="shared" si="7"/>
        <v>1</v>
      </c>
      <c r="L96" s="33">
        <v>0</v>
      </c>
      <c r="M96" s="33">
        <v>0</v>
      </c>
      <c r="N96" s="33">
        <v>0</v>
      </c>
      <c r="O96" s="33">
        <v>0</v>
      </c>
      <c r="P96" s="33">
        <v>0</v>
      </c>
      <c r="Q96" s="33">
        <v>0</v>
      </c>
      <c r="R96" s="33">
        <v>0</v>
      </c>
      <c r="S96" s="33">
        <v>0</v>
      </c>
      <c r="T96" s="33">
        <v>0</v>
      </c>
      <c r="U96" s="33">
        <v>0</v>
      </c>
      <c r="V96" s="33">
        <v>0</v>
      </c>
      <c r="W96" s="33">
        <v>0</v>
      </c>
      <c r="X96" s="33">
        <v>0</v>
      </c>
      <c r="Y96" s="33">
        <v>0</v>
      </c>
      <c r="Z96" s="33">
        <v>0</v>
      </c>
      <c r="AA96" s="33">
        <v>0</v>
      </c>
      <c r="AB96" s="33">
        <v>1</v>
      </c>
      <c r="AC96" s="33">
        <v>1</v>
      </c>
      <c r="AD96" s="33">
        <v>1</v>
      </c>
      <c r="AE96" s="33">
        <v>0</v>
      </c>
      <c r="AF96" s="33">
        <v>0</v>
      </c>
      <c r="AG96" s="21"/>
    </row>
    <row r="97" spans="1:33" ht="13.5" customHeight="1" x14ac:dyDescent="0.3">
      <c r="A97" s="21"/>
      <c r="B97" s="175" t="s">
        <v>586</v>
      </c>
      <c r="C97" s="39" t="s">
        <v>53</v>
      </c>
      <c r="D97" s="174" t="s">
        <v>592</v>
      </c>
      <c r="E97" s="172" t="s">
        <v>154</v>
      </c>
      <c r="F97" s="29" t="s">
        <v>137</v>
      </c>
      <c r="G97" s="29">
        <v>3</v>
      </c>
      <c r="H97" s="32"/>
      <c r="I97" s="32"/>
      <c r="J97" s="32"/>
      <c r="K97" s="32"/>
      <c r="L97" s="33">
        <v>0</v>
      </c>
      <c r="M97" s="33">
        <v>0</v>
      </c>
      <c r="N97" s="33">
        <v>0</v>
      </c>
      <c r="O97" s="33">
        <v>0</v>
      </c>
      <c r="P97" s="33">
        <v>0</v>
      </c>
      <c r="Q97" s="33">
        <v>0</v>
      </c>
      <c r="R97" s="33">
        <v>0</v>
      </c>
      <c r="S97" s="33">
        <v>0</v>
      </c>
      <c r="T97" s="33">
        <v>0</v>
      </c>
      <c r="U97" s="33">
        <v>0</v>
      </c>
      <c r="V97" s="33">
        <v>0</v>
      </c>
      <c r="W97" s="33">
        <v>0</v>
      </c>
      <c r="X97" s="33">
        <v>0</v>
      </c>
      <c r="Y97" s="33">
        <v>0</v>
      </c>
      <c r="Z97" s="33">
        <v>0</v>
      </c>
      <c r="AA97" s="33">
        <v>0</v>
      </c>
      <c r="AB97" s="33">
        <v>1</v>
      </c>
      <c r="AC97" s="33">
        <v>1</v>
      </c>
      <c r="AD97" s="33">
        <v>1</v>
      </c>
      <c r="AE97" s="33">
        <v>0</v>
      </c>
      <c r="AF97" s="33">
        <v>0</v>
      </c>
      <c r="AG97" s="21"/>
    </row>
    <row r="98" spans="1:33" ht="13.5" customHeight="1" x14ac:dyDescent="0.3">
      <c r="A98" s="21"/>
      <c r="B98" s="175" t="s">
        <v>597</v>
      </c>
      <c r="C98" s="39" t="s">
        <v>54</v>
      </c>
      <c r="D98" s="174" t="s">
        <v>593</v>
      </c>
      <c r="E98" s="172" t="s">
        <v>143</v>
      </c>
      <c r="F98" s="29" t="s">
        <v>137</v>
      </c>
      <c r="G98" s="29">
        <v>3</v>
      </c>
      <c r="H98" s="32"/>
      <c r="I98" s="32"/>
      <c r="J98" s="32"/>
      <c r="K98" s="32"/>
      <c r="L98" s="33">
        <v>0</v>
      </c>
      <c r="M98" s="33">
        <v>0</v>
      </c>
      <c r="N98" s="33">
        <v>0</v>
      </c>
      <c r="O98" s="33">
        <v>0</v>
      </c>
      <c r="P98" s="33">
        <v>0</v>
      </c>
      <c r="Q98" s="33">
        <v>0</v>
      </c>
      <c r="R98" s="33">
        <v>0</v>
      </c>
      <c r="S98" s="33">
        <v>0</v>
      </c>
      <c r="T98" s="33">
        <v>0</v>
      </c>
      <c r="U98" s="33">
        <v>0</v>
      </c>
      <c r="V98" s="33">
        <v>0</v>
      </c>
      <c r="W98" s="33">
        <v>0</v>
      </c>
      <c r="X98" s="33">
        <v>0</v>
      </c>
      <c r="Y98" s="33">
        <v>0</v>
      </c>
      <c r="Z98" s="33">
        <v>0</v>
      </c>
      <c r="AA98" s="33">
        <v>0</v>
      </c>
      <c r="AB98" s="33">
        <v>1</v>
      </c>
      <c r="AC98" s="33">
        <v>1</v>
      </c>
      <c r="AD98" s="33">
        <v>1</v>
      </c>
      <c r="AE98" s="33">
        <v>0</v>
      </c>
      <c r="AF98" s="33">
        <v>0</v>
      </c>
      <c r="AG98" s="21"/>
    </row>
    <row r="99" spans="1:33" ht="13.5" customHeight="1" x14ac:dyDescent="0.3">
      <c r="A99" s="21"/>
      <c r="B99" s="175" t="s">
        <v>598</v>
      </c>
      <c r="C99" s="39" t="s">
        <v>55</v>
      </c>
      <c r="D99" s="174" t="s">
        <v>594</v>
      </c>
      <c r="E99" s="172" t="s">
        <v>146</v>
      </c>
      <c r="F99" s="29" t="s">
        <v>137</v>
      </c>
      <c r="G99" s="29">
        <v>3</v>
      </c>
      <c r="H99" s="32"/>
      <c r="I99" s="32"/>
      <c r="J99" s="32"/>
      <c r="K99" s="32"/>
      <c r="L99" s="33">
        <v>0</v>
      </c>
      <c r="M99" s="33">
        <v>0</v>
      </c>
      <c r="N99" s="33">
        <v>0</v>
      </c>
      <c r="O99" s="33">
        <v>0</v>
      </c>
      <c r="P99" s="33">
        <v>0</v>
      </c>
      <c r="Q99" s="33">
        <v>0</v>
      </c>
      <c r="R99" s="33">
        <v>0</v>
      </c>
      <c r="S99" s="33">
        <v>0</v>
      </c>
      <c r="T99" s="33">
        <v>0</v>
      </c>
      <c r="U99" s="33">
        <v>0</v>
      </c>
      <c r="V99" s="33">
        <v>0</v>
      </c>
      <c r="W99" s="33">
        <v>0</v>
      </c>
      <c r="X99" s="33">
        <v>0</v>
      </c>
      <c r="Y99" s="33">
        <v>0</v>
      </c>
      <c r="Z99" s="33">
        <v>0</v>
      </c>
      <c r="AA99" s="33">
        <v>0</v>
      </c>
      <c r="AB99" s="33">
        <v>1</v>
      </c>
      <c r="AC99" s="33">
        <v>1</v>
      </c>
      <c r="AD99" s="33">
        <v>1</v>
      </c>
      <c r="AE99" s="33">
        <v>0</v>
      </c>
      <c r="AF99" s="33">
        <v>0</v>
      </c>
      <c r="AG99" s="21"/>
    </row>
    <row r="100" spans="1:33" ht="13.5" customHeight="1" x14ac:dyDescent="0.3">
      <c r="A100" s="21"/>
      <c r="B100" s="175" t="s">
        <v>599</v>
      </c>
      <c r="C100" s="39" t="s">
        <v>56</v>
      </c>
      <c r="D100" s="174" t="s">
        <v>595</v>
      </c>
      <c r="E100" s="172" t="s">
        <v>151</v>
      </c>
      <c r="F100" s="29" t="s">
        <v>137</v>
      </c>
      <c r="G100" s="29">
        <v>3</v>
      </c>
      <c r="H100" s="32"/>
      <c r="I100" s="32"/>
      <c r="J100" s="32"/>
      <c r="K100" s="32"/>
      <c r="L100" s="33">
        <v>0</v>
      </c>
      <c r="M100" s="33">
        <v>0</v>
      </c>
      <c r="N100" s="33">
        <v>0</v>
      </c>
      <c r="O100" s="33">
        <v>0</v>
      </c>
      <c r="P100" s="33">
        <v>0</v>
      </c>
      <c r="Q100" s="33">
        <v>0</v>
      </c>
      <c r="R100" s="33">
        <v>0</v>
      </c>
      <c r="S100" s="33">
        <v>0</v>
      </c>
      <c r="T100" s="33">
        <v>0</v>
      </c>
      <c r="U100" s="33">
        <v>0</v>
      </c>
      <c r="V100" s="33">
        <v>0</v>
      </c>
      <c r="W100" s="33">
        <v>0</v>
      </c>
      <c r="X100" s="33">
        <v>0</v>
      </c>
      <c r="Y100" s="33">
        <v>0</v>
      </c>
      <c r="Z100" s="33">
        <v>0</v>
      </c>
      <c r="AA100" s="33">
        <v>0</v>
      </c>
      <c r="AB100" s="33">
        <v>1</v>
      </c>
      <c r="AC100" s="33">
        <v>1</v>
      </c>
      <c r="AD100" s="33">
        <v>1</v>
      </c>
      <c r="AE100" s="33">
        <v>0</v>
      </c>
      <c r="AF100" s="33">
        <v>0</v>
      </c>
      <c r="AG100" s="21"/>
    </row>
    <row r="101" spans="1:33" ht="13.5" customHeight="1" x14ac:dyDescent="0.3">
      <c r="A101" s="21"/>
      <c r="B101" s="175" t="s">
        <v>600</v>
      </c>
      <c r="C101" s="39" t="s">
        <v>57</v>
      </c>
      <c r="D101" s="174" t="s">
        <v>596</v>
      </c>
      <c r="E101" s="172" t="s">
        <v>136</v>
      </c>
      <c r="F101" s="29" t="s">
        <v>137</v>
      </c>
      <c r="G101" s="29">
        <v>3</v>
      </c>
      <c r="H101" s="32"/>
      <c r="I101" s="32"/>
      <c r="J101" s="32"/>
      <c r="K101" s="32"/>
      <c r="L101" s="33">
        <v>0</v>
      </c>
      <c r="M101" s="33">
        <v>0</v>
      </c>
      <c r="N101" s="33">
        <v>0</v>
      </c>
      <c r="O101" s="33">
        <v>0</v>
      </c>
      <c r="P101" s="33">
        <v>0</v>
      </c>
      <c r="Q101" s="33">
        <v>0</v>
      </c>
      <c r="R101" s="33">
        <v>0</v>
      </c>
      <c r="S101" s="33">
        <v>0</v>
      </c>
      <c r="T101" s="33">
        <v>0</v>
      </c>
      <c r="U101" s="33">
        <v>0</v>
      </c>
      <c r="V101" s="33">
        <v>0</v>
      </c>
      <c r="W101" s="33">
        <v>0</v>
      </c>
      <c r="X101" s="33">
        <v>0</v>
      </c>
      <c r="Y101" s="33">
        <v>0</v>
      </c>
      <c r="Z101" s="33">
        <v>0</v>
      </c>
      <c r="AA101" s="33">
        <v>0</v>
      </c>
      <c r="AB101" s="33">
        <v>1</v>
      </c>
      <c r="AC101" s="33">
        <v>1</v>
      </c>
      <c r="AD101" s="33">
        <v>1</v>
      </c>
      <c r="AE101" s="33">
        <v>0</v>
      </c>
      <c r="AF101" s="33">
        <v>0</v>
      </c>
      <c r="AG101" s="21"/>
    </row>
    <row r="102" spans="1:33" ht="13.5" customHeight="1" x14ac:dyDescent="0.3">
      <c r="A102" s="21"/>
      <c r="B102" s="175" t="s">
        <v>601</v>
      </c>
      <c r="C102" s="39" t="s">
        <v>58</v>
      </c>
      <c r="D102" s="174" t="s">
        <v>292</v>
      </c>
      <c r="E102" s="172" t="s">
        <v>154</v>
      </c>
      <c r="F102" s="29" t="s">
        <v>137</v>
      </c>
      <c r="G102" s="29">
        <v>3</v>
      </c>
      <c r="H102" s="32"/>
      <c r="I102" s="32"/>
      <c r="J102" s="32"/>
      <c r="K102" s="32"/>
      <c r="L102" s="33">
        <v>0</v>
      </c>
      <c r="M102" s="33">
        <v>0</v>
      </c>
      <c r="N102" s="33">
        <v>0</v>
      </c>
      <c r="O102" s="33">
        <v>0</v>
      </c>
      <c r="P102" s="33">
        <v>0</v>
      </c>
      <c r="Q102" s="33">
        <v>0</v>
      </c>
      <c r="R102" s="33">
        <v>0</v>
      </c>
      <c r="S102" s="33">
        <v>0</v>
      </c>
      <c r="T102" s="33">
        <v>0</v>
      </c>
      <c r="U102" s="33">
        <v>0</v>
      </c>
      <c r="V102" s="33">
        <v>0</v>
      </c>
      <c r="W102" s="33">
        <v>0</v>
      </c>
      <c r="X102" s="33">
        <v>0</v>
      </c>
      <c r="Y102" s="33">
        <v>0</v>
      </c>
      <c r="Z102" s="33">
        <v>0</v>
      </c>
      <c r="AA102" s="33">
        <v>0</v>
      </c>
      <c r="AB102" s="33">
        <v>1</v>
      </c>
      <c r="AC102" s="33">
        <v>1</v>
      </c>
      <c r="AD102" s="33">
        <v>1</v>
      </c>
      <c r="AE102" s="33">
        <v>0</v>
      </c>
      <c r="AF102" s="33">
        <v>0</v>
      </c>
      <c r="AG102" s="21"/>
    </row>
    <row r="103" spans="1:33" ht="13.5" customHeight="1" x14ac:dyDescent="0.3">
      <c r="A103" s="21"/>
      <c r="B103" s="175" t="s">
        <v>602</v>
      </c>
      <c r="C103" s="39" t="s">
        <v>59</v>
      </c>
      <c r="D103" s="174" t="s">
        <v>686</v>
      </c>
      <c r="E103" s="172" t="s">
        <v>154</v>
      </c>
      <c r="F103" s="29" t="s">
        <v>137</v>
      </c>
      <c r="G103" s="29">
        <v>3</v>
      </c>
      <c r="H103" s="32"/>
      <c r="I103" s="32"/>
      <c r="J103" s="32"/>
      <c r="K103" s="32"/>
      <c r="L103" s="33">
        <v>0</v>
      </c>
      <c r="M103" s="33">
        <v>0</v>
      </c>
      <c r="N103" s="33">
        <v>0</v>
      </c>
      <c r="O103" s="33">
        <v>0</v>
      </c>
      <c r="P103" s="33">
        <v>0</v>
      </c>
      <c r="Q103" s="33">
        <v>0</v>
      </c>
      <c r="R103" s="33">
        <v>0</v>
      </c>
      <c r="S103" s="33">
        <v>0</v>
      </c>
      <c r="T103" s="33">
        <v>0</v>
      </c>
      <c r="U103" s="33">
        <v>0</v>
      </c>
      <c r="V103" s="33">
        <v>0</v>
      </c>
      <c r="W103" s="33">
        <v>0</v>
      </c>
      <c r="X103" s="33">
        <v>0</v>
      </c>
      <c r="Y103" s="33">
        <v>0</v>
      </c>
      <c r="Z103" s="33">
        <v>0</v>
      </c>
      <c r="AA103" s="33">
        <v>0</v>
      </c>
      <c r="AB103" s="33">
        <v>1</v>
      </c>
      <c r="AC103" s="33">
        <v>1</v>
      </c>
      <c r="AD103" s="33">
        <v>1</v>
      </c>
      <c r="AE103" s="33">
        <v>0</v>
      </c>
      <c r="AF103" s="33">
        <v>0</v>
      </c>
      <c r="AG103" s="21"/>
    </row>
    <row r="104" spans="1:33" ht="13.5" customHeight="1" x14ac:dyDescent="0.3">
      <c r="A104" s="21"/>
      <c r="B104" s="175" t="s">
        <v>627</v>
      </c>
      <c r="C104" s="39" t="s">
        <v>60</v>
      </c>
      <c r="D104" s="174" t="s">
        <v>687</v>
      </c>
      <c r="E104" s="172" t="s">
        <v>143</v>
      </c>
      <c r="F104" s="29" t="s">
        <v>137</v>
      </c>
      <c r="G104" s="29">
        <v>3</v>
      </c>
      <c r="H104" s="32"/>
      <c r="I104" s="32"/>
      <c r="J104" s="32"/>
      <c r="K104" s="32"/>
      <c r="L104" s="33">
        <v>0</v>
      </c>
      <c r="M104" s="33">
        <v>0</v>
      </c>
      <c r="N104" s="33">
        <v>0</v>
      </c>
      <c r="O104" s="33">
        <v>0</v>
      </c>
      <c r="P104" s="33">
        <v>0</v>
      </c>
      <c r="Q104" s="33">
        <v>0</v>
      </c>
      <c r="R104" s="33">
        <v>0</v>
      </c>
      <c r="S104" s="33">
        <v>0</v>
      </c>
      <c r="T104" s="33">
        <v>0</v>
      </c>
      <c r="U104" s="33">
        <v>0</v>
      </c>
      <c r="V104" s="33">
        <v>0</v>
      </c>
      <c r="W104" s="33">
        <v>0</v>
      </c>
      <c r="X104" s="33">
        <v>0</v>
      </c>
      <c r="Y104" s="33">
        <v>0</v>
      </c>
      <c r="Z104" s="33">
        <v>0</v>
      </c>
      <c r="AA104" s="33">
        <v>0</v>
      </c>
      <c r="AB104" s="33">
        <v>1</v>
      </c>
      <c r="AC104" s="33">
        <v>1</v>
      </c>
      <c r="AD104" s="33">
        <v>1</v>
      </c>
      <c r="AE104" s="33">
        <v>0</v>
      </c>
      <c r="AF104" s="33">
        <v>0</v>
      </c>
      <c r="AG104" s="21"/>
    </row>
    <row r="105" spans="1:33" ht="13.5" customHeight="1" x14ac:dyDescent="0.3">
      <c r="A105" s="21"/>
      <c r="B105" s="175" t="s">
        <v>628</v>
      </c>
      <c r="C105" s="39" t="s">
        <v>61</v>
      </c>
      <c r="D105" s="174" t="s">
        <v>688</v>
      </c>
      <c r="E105" s="172" t="s">
        <v>146</v>
      </c>
      <c r="F105" s="29" t="s">
        <v>137</v>
      </c>
      <c r="G105" s="29">
        <v>3</v>
      </c>
      <c r="H105" s="32"/>
      <c r="I105" s="32"/>
      <c r="J105" s="32"/>
      <c r="K105" s="32"/>
      <c r="L105" s="33">
        <v>0</v>
      </c>
      <c r="M105" s="33">
        <v>0</v>
      </c>
      <c r="N105" s="33">
        <v>0</v>
      </c>
      <c r="O105" s="33">
        <v>0</v>
      </c>
      <c r="P105" s="33">
        <v>0</v>
      </c>
      <c r="Q105" s="33">
        <v>0</v>
      </c>
      <c r="R105" s="33">
        <v>0</v>
      </c>
      <c r="S105" s="33">
        <v>0</v>
      </c>
      <c r="T105" s="33">
        <v>0</v>
      </c>
      <c r="U105" s="33">
        <v>0</v>
      </c>
      <c r="V105" s="33">
        <v>0</v>
      </c>
      <c r="W105" s="33">
        <v>0</v>
      </c>
      <c r="X105" s="33">
        <v>0</v>
      </c>
      <c r="Y105" s="33">
        <v>0</v>
      </c>
      <c r="Z105" s="33">
        <v>0</v>
      </c>
      <c r="AA105" s="33">
        <v>0</v>
      </c>
      <c r="AB105" s="33">
        <v>1</v>
      </c>
      <c r="AC105" s="33">
        <v>1</v>
      </c>
      <c r="AD105" s="33">
        <v>1</v>
      </c>
      <c r="AE105" s="33">
        <v>0</v>
      </c>
      <c r="AF105" s="33">
        <v>0</v>
      </c>
      <c r="AG105" s="21"/>
    </row>
    <row r="106" spans="1:33" ht="13.5" customHeight="1" x14ac:dyDescent="0.3">
      <c r="A106" s="21"/>
      <c r="B106" s="175" t="s">
        <v>629</v>
      </c>
      <c r="C106" s="39" t="s">
        <v>63</v>
      </c>
      <c r="D106" s="174" t="s">
        <v>689</v>
      </c>
      <c r="E106" s="172" t="s">
        <v>151</v>
      </c>
      <c r="F106" s="29" t="s">
        <v>137</v>
      </c>
      <c r="G106" s="29">
        <v>3</v>
      </c>
      <c r="H106" s="32"/>
      <c r="I106" s="32"/>
      <c r="J106" s="32"/>
      <c r="K106" s="32"/>
      <c r="L106" s="33">
        <v>0</v>
      </c>
      <c r="M106" s="33">
        <v>0</v>
      </c>
      <c r="N106" s="33">
        <v>0</v>
      </c>
      <c r="O106" s="33">
        <v>0</v>
      </c>
      <c r="P106" s="33">
        <v>0</v>
      </c>
      <c r="Q106" s="33">
        <v>0</v>
      </c>
      <c r="R106" s="33">
        <v>0</v>
      </c>
      <c r="S106" s="33">
        <v>0</v>
      </c>
      <c r="T106" s="33">
        <v>0</v>
      </c>
      <c r="U106" s="33">
        <v>0</v>
      </c>
      <c r="V106" s="33">
        <v>0</v>
      </c>
      <c r="W106" s="33">
        <v>0</v>
      </c>
      <c r="X106" s="33">
        <v>0</v>
      </c>
      <c r="Y106" s="33">
        <v>0</v>
      </c>
      <c r="Z106" s="33">
        <v>0</v>
      </c>
      <c r="AA106" s="33">
        <v>0</v>
      </c>
      <c r="AB106" s="33">
        <v>1</v>
      </c>
      <c r="AC106" s="33">
        <v>1</v>
      </c>
      <c r="AD106" s="33">
        <v>1</v>
      </c>
      <c r="AE106" s="33">
        <v>0</v>
      </c>
      <c r="AF106" s="33">
        <v>0</v>
      </c>
      <c r="AG106" s="21"/>
    </row>
    <row r="107" spans="1:33" ht="13.5" customHeight="1" x14ac:dyDescent="0.3">
      <c r="A107" s="21"/>
      <c r="B107" s="175" t="s">
        <v>630</v>
      </c>
      <c r="C107" s="39" t="s">
        <v>65</v>
      </c>
      <c r="D107" s="174" t="s">
        <v>690</v>
      </c>
      <c r="E107" s="172" t="s">
        <v>136</v>
      </c>
      <c r="F107" s="29" t="s">
        <v>137</v>
      </c>
      <c r="G107" s="29">
        <v>3</v>
      </c>
      <c r="H107" s="32"/>
      <c r="I107" s="32"/>
      <c r="J107" s="32"/>
      <c r="K107" s="32"/>
      <c r="L107" s="33">
        <v>0</v>
      </c>
      <c r="M107" s="33">
        <v>0</v>
      </c>
      <c r="N107" s="33">
        <v>0</v>
      </c>
      <c r="O107" s="33">
        <v>0</v>
      </c>
      <c r="P107" s="33">
        <v>0</v>
      </c>
      <c r="Q107" s="33">
        <v>0</v>
      </c>
      <c r="R107" s="33">
        <v>0</v>
      </c>
      <c r="S107" s="33">
        <v>0</v>
      </c>
      <c r="T107" s="33">
        <v>0</v>
      </c>
      <c r="U107" s="33">
        <v>0</v>
      </c>
      <c r="V107" s="33">
        <v>0</v>
      </c>
      <c r="W107" s="33">
        <v>0</v>
      </c>
      <c r="X107" s="33">
        <v>0</v>
      </c>
      <c r="Y107" s="33">
        <v>0</v>
      </c>
      <c r="Z107" s="33">
        <v>0</v>
      </c>
      <c r="AA107" s="33">
        <v>0</v>
      </c>
      <c r="AB107" s="33">
        <v>1</v>
      </c>
      <c r="AC107" s="33">
        <v>1</v>
      </c>
      <c r="AD107" s="33">
        <v>1</v>
      </c>
      <c r="AE107" s="33">
        <v>0</v>
      </c>
      <c r="AF107" s="33">
        <v>0</v>
      </c>
      <c r="AG107" s="21"/>
    </row>
    <row r="108" spans="1:33" ht="13.5" customHeight="1" x14ac:dyDescent="0.3">
      <c r="A108" s="21"/>
      <c r="B108" s="175" t="s">
        <v>631</v>
      </c>
      <c r="C108" s="39" t="s">
        <v>68</v>
      </c>
      <c r="D108" s="174" t="s">
        <v>326</v>
      </c>
      <c r="E108" s="172" t="s">
        <v>154</v>
      </c>
      <c r="F108" s="29" t="s">
        <v>137</v>
      </c>
      <c r="G108" s="29">
        <v>3</v>
      </c>
      <c r="H108" s="32">
        <v>5</v>
      </c>
      <c r="I108" s="32">
        <f t="shared" si="6"/>
        <v>-2</v>
      </c>
      <c r="J108" s="32">
        <v>5</v>
      </c>
      <c r="K108" s="32">
        <f t="shared" si="7"/>
        <v>2</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1</v>
      </c>
      <c r="AC108" s="33">
        <v>1</v>
      </c>
      <c r="AD108" s="33">
        <v>1</v>
      </c>
      <c r="AE108" s="33">
        <v>0</v>
      </c>
      <c r="AF108" s="33">
        <v>0</v>
      </c>
      <c r="AG108" s="21"/>
    </row>
    <row r="109" spans="1:33" ht="13.5" customHeight="1" x14ac:dyDescent="0.3">
      <c r="A109" s="21"/>
      <c r="B109" s="36"/>
      <c r="C109" s="42"/>
      <c r="D109" s="4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21"/>
    </row>
    <row r="110" spans="1:33" ht="13.5" customHeight="1" x14ac:dyDescent="0.3">
      <c r="A110" s="21"/>
      <c r="B110" s="175" t="s">
        <v>632</v>
      </c>
      <c r="C110" s="29"/>
      <c r="D110" s="48" t="s">
        <v>230</v>
      </c>
      <c r="E110" s="29" t="s">
        <v>140</v>
      </c>
      <c r="F110" s="29" t="s">
        <v>137</v>
      </c>
      <c r="G110" s="29">
        <v>4</v>
      </c>
      <c r="H110" s="32">
        <v>5</v>
      </c>
      <c r="I110" s="32">
        <f t="shared" ref="I110:I111" si="8">G110-H110</f>
        <v>-1</v>
      </c>
      <c r="J110" s="32">
        <v>5</v>
      </c>
      <c r="K110" s="32">
        <f t="shared" ref="K110:K111" si="9">SUM(J110-G110)</f>
        <v>1</v>
      </c>
      <c r="L110" s="33">
        <v>0</v>
      </c>
      <c r="M110" s="33">
        <v>0</v>
      </c>
      <c r="N110" s="33">
        <v>0</v>
      </c>
      <c r="O110" s="33">
        <v>0</v>
      </c>
      <c r="P110" s="33">
        <v>0</v>
      </c>
      <c r="Q110" s="33">
        <v>0</v>
      </c>
      <c r="R110" s="33">
        <v>0</v>
      </c>
      <c r="S110" s="33">
        <v>0</v>
      </c>
      <c r="T110" s="33">
        <v>0</v>
      </c>
      <c r="U110" s="33">
        <v>0</v>
      </c>
      <c r="V110" s="33">
        <v>0</v>
      </c>
      <c r="W110" s="33">
        <v>0</v>
      </c>
      <c r="X110" s="33">
        <v>0</v>
      </c>
      <c r="Y110" s="33">
        <v>0</v>
      </c>
      <c r="Z110" s="33">
        <v>0</v>
      </c>
      <c r="AA110" s="33">
        <v>0</v>
      </c>
      <c r="AB110" s="33">
        <v>0</v>
      </c>
      <c r="AC110" s="33">
        <v>0</v>
      </c>
      <c r="AD110" s="33">
        <v>0</v>
      </c>
      <c r="AE110" s="33">
        <v>2</v>
      </c>
      <c r="AF110" s="33">
        <v>2</v>
      </c>
      <c r="AG110" s="21"/>
    </row>
    <row r="111" spans="1:33" ht="13.5" customHeight="1" x14ac:dyDescent="0.3">
      <c r="A111" s="21"/>
      <c r="B111" s="175" t="s">
        <v>717</v>
      </c>
      <c r="C111" s="29"/>
      <c r="D111" s="49" t="s">
        <v>232</v>
      </c>
      <c r="E111" s="29" t="s">
        <v>140</v>
      </c>
      <c r="F111" s="29" t="s">
        <v>137</v>
      </c>
      <c r="G111" s="29">
        <v>4</v>
      </c>
      <c r="H111" s="32">
        <v>5</v>
      </c>
      <c r="I111" s="32">
        <f t="shared" si="8"/>
        <v>-1</v>
      </c>
      <c r="J111" s="32">
        <v>5</v>
      </c>
      <c r="K111" s="32">
        <f t="shared" si="9"/>
        <v>1</v>
      </c>
      <c r="L111" s="33">
        <v>0</v>
      </c>
      <c r="M111" s="33">
        <v>0</v>
      </c>
      <c r="N111" s="33">
        <v>0</v>
      </c>
      <c r="O111" s="33">
        <v>0</v>
      </c>
      <c r="P111" s="33">
        <v>0</v>
      </c>
      <c r="Q111" s="33">
        <v>0</v>
      </c>
      <c r="R111" s="33">
        <v>0</v>
      </c>
      <c r="S111" s="33">
        <v>0</v>
      </c>
      <c r="T111" s="33">
        <v>0</v>
      </c>
      <c r="U111" s="33">
        <v>0</v>
      </c>
      <c r="V111" s="33">
        <v>0</v>
      </c>
      <c r="W111" s="33">
        <v>0</v>
      </c>
      <c r="X111" s="33">
        <v>0</v>
      </c>
      <c r="Y111" s="33">
        <v>0</v>
      </c>
      <c r="Z111" s="33">
        <v>0</v>
      </c>
      <c r="AA111" s="33">
        <v>0</v>
      </c>
      <c r="AB111" s="33">
        <v>0</v>
      </c>
      <c r="AC111" s="33">
        <v>0</v>
      </c>
      <c r="AD111" s="33">
        <v>0</v>
      </c>
      <c r="AE111" s="33">
        <v>2</v>
      </c>
      <c r="AF111" s="33">
        <v>2</v>
      </c>
      <c r="AG111" s="21"/>
    </row>
    <row r="112" spans="1:33" ht="13.5" customHeight="1" x14ac:dyDescent="0.3">
      <c r="A112" s="21"/>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21"/>
    </row>
    <row r="113" spans="1:33" ht="13.5" customHeight="1" x14ac:dyDescent="0.3">
      <c r="A113" s="21"/>
      <c r="B113" s="50"/>
      <c r="C113" s="50"/>
      <c r="D113" s="51"/>
      <c r="E113" s="50"/>
      <c r="F113" s="52"/>
      <c r="G113" s="32"/>
      <c r="H113" s="32"/>
      <c r="I113" s="32"/>
      <c r="J113" s="32"/>
      <c r="K113" s="32"/>
      <c r="L113" s="32"/>
      <c r="M113" s="32"/>
      <c r="N113" s="32"/>
      <c r="O113" s="32"/>
      <c r="P113" s="32"/>
      <c r="Q113" s="32"/>
      <c r="R113" s="32"/>
      <c r="S113" s="32"/>
      <c r="T113" s="32"/>
      <c r="U113" s="32"/>
      <c r="V113" s="32"/>
      <c r="W113" s="32"/>
      <c r="X113" s="32"/>
      <c r="Y113" s="32"/>
      <c r="Z113" s="32"/>
      <c r="AA113" s="21"/>
      <c r="AB113" s="21"/>
      <c r="AC113" s="21"/>
      <c r="AD113" s="21"/>
      <c r="AE113" s="21"/>
      <c r="AF113" s="21"/>
      <c r="AG113" s="21"/>
    </row>
    <row r="114" spans="1:33" ht="13.5" customHeight="1" x14ac:dyDescent="0.3">
      <c r="A114" s="21"/>
      <c r="B114" s="53"/>
      <c r="C114" s="53"/>
      <c r="D114" s="54"/>
      <c r="E114" s="53"/>
      <c r="F114" s="55" t="s">
        <v>233</v>
      </c>
      <c r="G114" s="56">
        <f>SUBTOTAL(9,G8:G111)</f>
        <v>529</v>
      </c>
      <c r="H114" s="56">
        <f>SUBTOTAL(9,H8:H111)</f>
        <v>280</v>
      </c>
      <c r="I114" s="56">
        <f>SUBTOTAL(9,I8:I111)</f>
        <v>-19</v>
      </c>
      <c r="J114" s="56">
        <f>SUBTOTAL(9,J8:J111)</f>
        <v>316</v>
      </c>
      <c r="K114" s="56">
        <f>SUBTOTAL(9,K8:K111)</f>
        <v>55</v>
      </c>
      <c r="L114" s="56">
        <f t="shared" ref="L114:AF114" si="10">SUBTOTAL(9,L7:L111)</f>
        <v>5</v>
      </c>
      <c r="M114" s="56">
        <f t="shared" si="10"/>
        <v>11</v>
      </c>
      <c r="N114" s="56">
        <f t="shared" si="10"/>
        <v>14</v>
      </c>
      <c r="O114" s="56">
        <f t="shared" si="10"/>
        <v>11</v>
      </c>
      <c r="P114" s="56">
        <f t="shared" si="10"/>
        <v>12</v>
      </c>
      <c r="Q114" s="56">
        <f t="shared" si="10"/>
        <v>8</v>
      </c>
      <c r="R114" s="56">
        <f t="shared" si="10"/>
        <v>23</v>
      </c>
      <c r="S114" s="56">
        <f t="shared" si="10"/>
        <v>51</v>
      </c>
      <c r="T114" s="56">
        <f t="shared" si="10"/>
        <v>41</v>
      </c>
      <c r="U114" s="56">
        <f t="shared" si="10"/>
        <v>36</v>
      </c>
      <c r="V114" s="56">
        <f t="shared" si="10"/>
        <v>27</v>
      </c>
      <c r="W114" s="56">
        <f t="shared" si="10"/>
        <v>18</v>
      </c>
      <c r="X114" s="56">
        <f t="shared" si="10"/>
        <v>18</v>
      </c>
      <c r="Y114" s="56">
        <f t="shared" si="10"/>
        <v>18</v>
      </c>
      <c r="Z114" s="56">
        <f t="shared" si="10"/>
        <v>9</v>
      </c>
      <c r="AA114" s="56">
        <f t="shared" si="10"/>
        <v>5</v>
      </c>
      <c r="AB114" s="56">
        <f t="shared" si="10"/>
        <v>23</v>
      </c>
      <c r="AC114" s="56">
        <f t="shared" si="10"/>
        <v>23</v>
      </c>
      <c r="AD114" s="56">
        <f t="shared" si="10"/>
        <v>23</v>
      </c>
      <c r="AE114" s="56">
        <f t="shared" si="10"/>
        <v>4</v>
      </c>
      <c r="AF114" s="56">
        <f t="shared" si="10"/>
        <v>4</v>
      </c>
      <c r="AG114" s="21"/>
    </row>
    <row r="115" spans="1:33" ht="13.5" customHeight="1" x14ac:dyDescent="0.3">
      <c r="A115" s="21"/>
      <c r="B115" s="53"/>
      <c r="C115" s="53"/>
      <c r="D115" s="54"/>
      <c r="E115" s="53"/>
      <c r="F115" s="55" t="s">
        <v>234</v>
      </c>
      <c r="G115" s="56"/>
      <c r="H115" s="56"/>
      <c r="I115" s="56"/>
      <c r="J115" s="56"/>
      <c r="K115" s="56"/>
      <c r="L115" s="56">
        <f>J114-L114</f>
        <v>311</v>
      </c>
      <c r="M115" s="56">
        <f t="shared" ref="M115:AF115" si="11">L115-M114</f>
        <v>300</v>
      </c>
      <c r="N115" s="56">
        <f t="shared" si="11"/>
        <v>286</v>
      </c>
      <c r="O115" s="56">
        <f t="shared" si="11"/>
        <v>275</v>
      </c>
      <c r="P115" s="56">
        <f t="shared" si="11"/>
        <v>263</v>
      </c>
      <c r="Q115" s="56">
        <f t="shared" si="11"/>
        <v>255</v>
      </c>
      <c r="R115" s="56">
        <f t="shared" si="11"/>
        <v>232</v>
      </c>
      <c r="S115" s="56">
        <f t="shared" si="11"/>
        <v>181</v>
      </c>
      <c r="T115" s="56">
        <f t="shared" si="11"/>
        <v>140</v>
      </c>
      <c r="U115" s="56">
        <f t="shared" si="11"/>
        <v>104</v>
      </c>
      <c r="V115" s="56">
        <f t="shared" si="11"/>
        <v>77</v>
      </c>
      <c r="W115" s="56">
        <f t="shared" si="11"/>
        <v>59</v>
      </c>
      <c r="X115" s="56">
        <f t="shared" si="11"/>
        <v>41</v>
      </c>
      <c r="Y115" s="56">
        <f t="shared" si="11"/>
        <v>23</v>
      </c>
      <c r="Z115" s="56">
        <f t="shared" si="11"/>
        <v>14</v>
      </c>
      <c r="AA115" s="56">
        <f t="shared" si="11"/>
        <v>9</v>
      </c>
      <c r="AB115" s="56">
        <f t="shared" si="11"/>
        <v>-14</v>
      </c>
      <c r="AC115" s="56">
        <f t="shared" si="11"/>
        <v>-37</v>
      </c>
      <c r="AD115" s="56">
        <f t="shared" si="11"/>
        <v>-60</v>
      </c>
      <c r="AE115" s="56">
        <f t="shared" si="11"/>
        <v>-64</v>
      </c>
      <c r="AF115" s="56">
        <f t="shared" si="11"/>
        <v>-68</v>
      </c>
      <c r="AG115" s="21"/>
    </row>
    <row r="116" spans="1:33" ht="13.5" customHeight="1" x14ac:dyDescent="0.3">
      <c r="A116" s="21"/>
      <c r="B116" s="53"/>
      <c r="C116" s="53"/>
      <c r="D116" s="54"/>
      <c r="E116" s="53"/>
      <c r="F116" s="55" t="s">
        <v>235</v>
      </c>
      <c r="G116" s="56"/>
      <c r="H116" s="56"/>
      <c r="I116" s="56"/>
      <c r="J116" s="56"/>
      <c r="K116" s="56"/>
      <c r="L116" s="56">
        <f>L114</f>
        <v>5</v>
      </c>
      <c r="M116" s="56">
        <f t="shared" ref="M116:AF116" si="12">L116+M114</f>
        <v>16</v>
      </c>
      <c r="N116" s="56">
        <f t="shared" si="12"/>
        <v>30</v>
      </c>
      <c r="O116" s="56">
        <f t="shared" si="12"/>
        <v>41</v>
      </c>
      <c r="P116" s="56">
        <f t="shared" si="12"/>
        <v>53</v>
      </c>
      <c r="Q116" s="56">
        <f t="shared" si="12"/>
        <v>61</v>
      </c>
      <c r="R116" s="56">
        <f t="shared" si="12"/>
        <v>84</v>
      </c>
      <c r="S116" s="56">
        <f t="shared" si="12"/>
        <v>135</v>
      </c>
      <c r="T116" s="56">
        <f t="shared" si="12"/>
        <v>176</v>
      </c>
      <c r="U116" s="56">
        <f t="shared" si="12"/>
        <v>212</v>
      </c>
      <c r="V116" s="56">
        <f t="shared" si="12"/>
        <v>239</v>
      </c>
      <c r="W116" s="56">
        <f t="shared" si="12"/>
        <v>257</v>
      </c>
      <c r="X116" s="56">
        <f t="shared" si="12"/>
        <v>275</v>
      </c>
      <c r="Y116" s="56">
        <f t="shared" si="12"/>
        <v>293</v>
      </c>
      <c r="Z116" s="56">
        <f t="shared" si="12"/>
        <v>302</v>
      </c>
      <c r="AA116" s="56">
        <f t="shared" si="12"/>
        <v>307</v>
      </c>
      <c r="AB116" s="56">
        <f t="shared" si="12"/>
        <v>330</v>
      </c>
      <c r="AC116" s="56">
        <f t="shared" si="12"/>
        <v>353</v>
      </c>
      <c r="AD116" s="56">
        <f t="shared" si="12"/>
        <v>376</v>
      </c>
      <c r="AE116" s="56">
        <f t="shared" si="12"/>
        <v>380</v>
      </c>
      <c r="AF116" s="56">
        <f t="shared" si="12"/>
        <v>384</v>
      </c>
      <c r="AG116" s="21"/>
    </row>
    <row r="117" spans="1:33" ht="13.5" customHeight="1" x14ac:dyDescent="0.3">
      <c r="A117" s="21"/>
      <c r="B117" s="53"/>
      <c r="C117" s="57"/>
      <c r="D117" s="58"/>
      <c r="E117" s="57"/>
      <c r="F117" s="59" t="s">
        <v>236</v>
      </c>
      <c r="G117" s="59">
        <f>H114/21</f>
        <v>13.333333333333334</v>
      </c>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21"/>
    </row>
    <row r="118" spans="1:33" ht="13.5" customHeight="1" x14ac:dyDescent="0.3">
      <c r="A118" s="21"/>
      <c r="B118" s="22"/>
      <c r="C118" s="23"/>
      <c r="D118" s="21"/>
      <c r="E118" s="23"/>
      <c r="F118" s="59" t="s">
        <v>237</v>
      </c>
      <c r="G118" s="59"/>
      <c r="H118" s="59"/>
      <c r="I118" s="59"/>
      <c r="J118" s="59"/>
      <c r="K118" s="59">
        <f>$J114</f>
        <v>316</v>
      </c>
      <c r="L118" s="61">
        <f>413-$G$117</f>
        <v>399.66666666666669</v>
      </c>
      <c r="M118" s="61">
        <f t="shared" ref="M118:AF118" si="13">L118-$G$117</f>
        <v>386.33333333333337</v>
      </c>
      <c r="N118" s="61">
        <f t="shared" si="13"/>
        <v>373.00000000000006</v>
      </c>
      <c r="O118" s="61">
        <f t="shared" si="13"/>
        <v>359.66666666666674</v>
      </c>
      <c r="P118" s="61">
        <f t="shared" si="13"/>
        <v>346.33333333333343</v>
      </c>
      <c r="Q118" s="61">
        <f t="shared" si="13"/>
        <v>333.00000000000011</v>
      </c>
      <c r="R118" s="61">
        <f t="shared" si="13"/>
        <v>319.6666666666668</v>
      </c>
      <c r="S118" s="61">
        <f t="shared" si="13"/>
        <v>306.33333333333348</v>
      </c>
      <c r="T118" s="61">
        <f t="shared" si="13"/>
        <v>293.00000000000017</v>
      </c>
      <c r="U118" s="61">
        <f t="shared" si="13"/>
        <v>279.66666666666686</v>
      </c>
      <c r="V118" s="61">
        <f t="shared" si="13"/>
        <v>266.33333333333354</v>
      </c>
      <c r="W118" s="61">
        <f t="shared" si="13"/>
        <v>253.0000000000002</v>
      </c>
      <c r="X118" s="61">
        <f t="shared" si="13"/>
        <v>239.66666666666686</v>
      </c>
      <c r="Y118" s="61">
        <f t="shared" si="13"/>
        <v>226.33333333333351</v>
      </c>
      <c r="Z118" s="61">
        <f t="shared" si="13"/>
        <v>213.00000000000017</v>
      </c>
      <c r="AA118" s="61">
        <f t="shared" si="13"/>
        <v>199.66666666666683</v>
      </c>
      <c r="AB118" s="61">
        <f t="shared" si="13"/>
        <v>186.33333333333348</v>
      </c>
      <c r="AC118" s="61">
        <f t="shared" si="13"/>
        <v>173.00000000000014</v>
      </c>
      <c r="AD118" s="61">
        <f t="shared" si="13"/>
        <v>159.6666666666668</v>
      </c>
      <c r="AE118" s="61">
        <f t="shared" si="13"/>
        <v>146.33333333333346</v>
      </c>
      <c r="AF118" s="61">
        <f t="shared" si="13"/>
        <v>133.00000000000011</v>
      </c>
      <c r="AG118" s="61">
        <v>0</v>
      </c>
    </row>
    <row r="119" spans="1:33" ht="13.5" customHeight="1" x14ac:dyDescent="0.3">
      <c r="A119" s="21"/>
      <c r="B119" s="22"/>
      <c r="C119" s="23"/>
      <c r="D119" s="21"/>
      <c r="E119" s="23"/>
      <c r="F119" s="59" t="s">
        <v>238</v>
      </c>
      <c r="G119" s="59"/>
      <c r="H119" s="59"/>
      <c r="I119" s="59"/>
      <c r="J119" s="59"/>
      <c r="K119" s="59">
        <f>$J114</f>
        <v>316</v>
      </c>
      <c r="L119" s="61">
        <f>J114-L114</f>
        <v>311</v>
      </c>
      <c r="M119" s="61">
        <f t="shared" ref="M119:AF119" si="14">L119-M114</f>
        <v>300</v>
      </c>
      <c r="N119" s="61">
        <f t="shared" si="14"/>
        <v>286</v>
      </c>
      <c r="O119" s="61">
        <f t="shared" si="14"/>
        <v>275</v>
      </c>
      <c r="P119" s="61">
        <f t="shared" si="14"/>
        <v>263</v>
      </c>
      <c r="Q119" s="61">
        <f t="shared" si="14"/>
        <v>255</v>
      </c>
      <c r="R119" s="61">
        <f t="shared" si="14"/>
        <v>232</v>
      </c>
      <c r="S119" s="61">
        <f t="shared" si="14"/>
        <v>181</v>
      </c>
      <c r="T119" s="61">
        <f t="shared" si="14"/>
        <v>140</v>
      </c>
      <c r="U119" s="61">
        <f t="shared" si="14"/>
        <v>104</v>
      </c>
      <c r="V119" s="61">
        <f t="shared" si="14"/>
        <v>77</v>
      </c>
      <c r="W119" s="61">
        <f t="shared" si="14"/>
        <v>59</v>
      </c>
      <c r="X119" s="61">
        <f t="shared" si="14"/>
        <v>41</v>
      </c>
      <c r="Y119" s="61">
        <f t="shared" si="14"/>
        <v>23</v>
      </c>
      <c r="Z119" s="61">
        <f t="shared" si="14"/>
        <v>14</v>
      </c>
      <c r="AA119" s="61">
        <f t="shared" si="14"/>
        <v>9</v>
      </c>
      <c r="AB119" s="61">
        <f t="shared" si="14"/>
        <v>-14</v>
      </c>
      <c r="AC119" s="61">
        <f t="shared" si="14"/>
        <v>-37</v>
      </c>
      <c r="AD119" s="61">
        <f t="shared" si="14"/>
        <v>-60</v>
      </c>
      <c r="AE119" s="61">
        <f t="shared" si="14"/>
        <v>-64</v>
      </c>
      <c r="AF119" s="61">
        <f t="shared" si="14"/>
        <v>-68</v>
      </c>
      <c r="AG119" s="61">
        <v>0</v>
      </c>
    </row>
    <row r="120" spans="1:33" ht="13.8" x14ac:dyDescent="0.3">
      <c r="A120" s="21"/>
      <c r="B120" s="22"/>
      <c r="C120" s="23"/>
      <c r="D120" s="21"/>
      <c r="E120" s="23"/>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row>
    <row r="121" spans="1:33" ht="13.8" x14ac:dyDescent="0.3">
      <c r="A121" s="21"/>
      <c r="B121" s="22"/>
      <c r="C121" s="23"/>
      <c r="D121" s="21"/>
      <c r="E121" s="23"/>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row>
    <row r="122" spans="1:33" ht="15.6" x14ac:dyDescent="0.3">
      <c r="A122" s="21"/>
      <c r="B122" s="22"/>
      <c r="C122" s="23"/>
      <c r="D122" s="21"/>
      <c r="E122" s="23"/>
      <c r="F122" s="21"/>
      <c r="G122" s="21"/>
      <c r="H122" s="21"/>
      <c r="I122" s="21"/>
      <c r="J122" s="21"/>
      <c r="K122" s="62" t="s">
        <v>146</v>
      </c>
      <c r="L122" s="59">
        <f t="shared" ref="L122:AE122" si="15">SUMIF($E8:$E111, "*"&amp;$K122&amp;"*",L8:L111)</f>
        <v>0</v>
      </c>
      <c r="M122" s="59">
        <f t="shared" si="15"/>
        <v>1</v>
      </c>
      <c r="N122" s="59">
        <f t="shared" si="15"/>
        <v>1</v>
      </c>
      <c r="O122" s="59">
        <f t="shared" si="15"/>
        <v>2</v>
      </c>
      <c r="P122" s="59">
        <f t="shared" si="15"/>
        <v>1</v>
      </c>
      <c r="Q122" s="59">
        <f t="shared" si="15"/>
        <v>1</v>
      </c>
      <c r="R122" s="59">
        <f t="shared" si="15"/>
        <v>4</v>
      </c>
      <c r="S122" s="59">
        <f t="shared" si="15"/>
        <v>13</v>
      </c>
      <c r="T122" s="59">
        <f t="shared" si="15"/>
        <v>12</v>
      </c>
      <c r="U122" s="59">
        <f t="shared" si="15"/>
        <v>11</v>
      </c>
      <c r="V122" s="59">
        <f t="shared" si="15"/>
        <v>7</v>
      </c>
      <c r="W122" s="59">
        <f t="shared" si="15"/>
        <v>5</v>
      </c>
      <c r="X122" s="59">
        <f t="shared" si="15"/>
        <v>5</v>
      </c>
      <c r="Y122" s="59">
        <f t="shared" si="15"/>
        <v>5</v>
      </c>
      <c r="Z122" s="59">
        <f t="shared" si="15"/>
        <v>3</v>
      </c>
      <c r="AA122" s="59">
        <f t="shared" si="15"/>
        <v>0</v>
      </c>
      <c r="AB122" s="59">
        <f t="shared" si="15"/>
        <v>5</v>
      </c>
      <c r="AC122" s="59">
        <f t="shared" si="15"/>
        <v>5</v>
      </c>
      <c r="AD122" s="59">
        <f t="shared" si="15"/>
        <v>5</v>
      </c>
      <c r="AE122" s="59">
        <f t="shared" si="15"/>
        <v>0</v>
      </c>
      <c r="AF122" s="59">
        <v>1</v>
      </c>
      <c r="AG122" s="59">
        <f t="shared" ref="AG122:AG126" si="16">SUM(L122:AF122)</f>
        <v>87</v>
      </c>
    </row>
    <row r="123" spans="1:33" ht="15.6" x14ac:dyDescent="0.3">
      <c r="A123" s="21"/>
      <c r="B123" s="22"/>
      <c r="C123" s="23"/>
      <c r="D123" s="21"/>
      <c r="E123" s="23"/>
      <c r="F123" s="21"/>
      <c r="G123" s="21"/>
      <c r="H123" s="21"/>
      <c r="I123" s="21"/>
      <c r="J123" s="21"/>
      <c r="K123" s="63" t="s">
        <v>154</v>
      </c>
      <c r="L123" s="59">
        <f t="shared" ref="L123:AE123" si="17">SUMIF($E8:$E111, "*"&amp;$K123&amp;"*",L8:L111)</f>
        <v>0</v>
      </c>
      <c r="M123" s="59">
        <f t="shared" si="17"/>
        <v>1</v>
      </c>
      <c r="N123" s="59">
        <f t="shared" si="17"/>
        <v>2</v>
      </c>
      <c r="O123" s="59">
        <f t="shared" si="17"/>
        <v>3</v>
      </c>
      <c r="P123" s="59">
        <f t="shared" si="17"/>
        <v>4</v>
      </c>
      <c r="Q123" s="59">
        <f t="shared" si="17"/>
        <v>1</v>
      </c>
      <c r="R123" s="59">
        <f t="shared" si="17"/>
        <v>7</v>
      </c>
      <c r="S123" s="59">
        <f t="shared" si="17"/>
        <v>14</v>
      </c>
      <c r="T123" s="59">
        <f t="shared" si="17"/>
        <v>12</v>
      </c>
      <c r="U123" s="59">
        <f t="shared" si="17"/>
        <v>11</v>
      </c>
      <c r="V123" s="59">
        <f t="shared" si="17"/>
        <v>9</v>
      </c>
      <c r="W123" s="59">
        <f t="shared" si="17"/>
        <v>11</v>
      </c>
      <c r="X123" s="59">
        <f t="shared" si="17"/>
        <v>11</v>
      </c>
      <c r="Y123" s="59">
        <f t="shared" si="17"/>
        <v>11</v>
      </c>
      <c r="Z123" s="59">
        <f t="shared" si="17"/>
        <v>6</v>
      </c>
      <c r="AA123" s="59">
        <f t="shared" si="17"/>
        <v>0</v>
      </c>
      <c r="AB123" s="59">
        <f t="shared" si="17"/>
        <v>8</v>
      </c>
      <c r="AC123" s="59">
        <f t="shared" si="17"/>
        <v>8</v>
      </c>
      <c r="AD123" s="59">
        <f t="shared" si="17"/>
        <v>8</v>
      </c>
      <c r="AE123" s="59">
        <f t="shared" si="17"/>
        <v>0</v>
      </c>
      <c r="AF123" s="59">
        <v>1</v>
      </c>
      <c r="AG123" s="59">
        <f t="shared" si="16"/>
        <v>128</v>
      </c>
    </row>
    <row r="124" spans="1:33" ht="15.6" x14ac:dyDescent="0.3">
      <c r="A124" s="21"/>
      <c r="B124" s="22"/>
      <c r="C124" s="23"/>
      <c r="D124" s="21"/>
      <c r="E124" s="23"/>
      <c r="F124" s="21"/>
      <c r="G124" s="21"/>
      <c r="H124" s="21"/>
      <c r="I124" s="21"/>
      <c r="J124" s="21"/>
      <c r="K124" s="64" t="s">
        <v>143</v>
      </c>
      <c r="L124" s="59">
        <f t="shared" ref="L124:AE124" si="18">SUMIF($E8:$E111, "*"&amp;$K124&amp;"*",L8:L111)</f>
        <v>2</v>
      </c>
      <c r="M124" s="59">
        <f t="shared" si="18"/>
        <v>4</v>
      </c>
      <c r="N124" s="59">
        <f t="shared" si="18"/>
        <v>4</v>
      </c>
      <c r="O124" s="59">
        <f t="shared" si="18"/>
        <v>2</v>
      </c>
      <c r="P124" s="59">
        <f t="shared" si="18"/>
        <v>0</v>
      </c>
      <c r="Q124" s="59">
        <f t="shared" si="18"/>
        <v>0</v>
      </c>
      <c r="R124" s="59">
        <f t="shared" si="18"/>
        <v>2</v>
      </c>
      <c r="S124" s="59">
        <f t="shared" si="18"/>
        <v>6</v>
      </c>
      <c r="T124" s="59">
        <f t="shared" si="18"/>
        <v>5</v>
      </c>
      <c r="U124" s="59">
        <f t="shared" si="18"/>
        <v>5</v>
      </c>
      <c r="V124" s="59">
        <f t="shared" si="18"/>
        <v>4</v>
      </c>
      <c r="W124" s="59">
        <f t="shared" si="18"/>
        <v>1</v>
      </c>
      <c r="X124" s="59">
        <f t="shared" si="18"/>
        <v>1</v>
      </c>
      <c r="Y124" s="59">
        <f t="shared" si="18"/>
        <v>1</v>
      </c>
      <c r="Z124" s="59">
        <f t="shared" si="18"/>
        <v>0</v>
      </c>
      <c r="AA124" s="59">
        <f t="shared" si="18"/>
        <v>0</v>
      </c>
      <c r="AB124" s="59">
        <f t="shared" si="18"/>
        <v>3</v>
      </c>
      <c r="AC124" s="59">
        <f t="shared" si="18"/>
        <v>3</v>
      </c>
      <c r="AD124" s="59">
        <f t="shared" si="18"/>
        <v>3</v>
      </c>
      <c r="AE124" s="59">
        <f t="shared" si="18"/>
        <v>0</v>
      </c>
      <c r="AF124" s="59">
        <v>1</v>
      </c>
      <c r="AG124" s="59">
        <f t="shared" si="16"/>
        <v>47</v>
      </c>
    </row>
    <row r="125" spans="1:33" ht="15.6" x14ac:dyDescent="0.3">
      <c r="A125" s="21"/>
      <c r="B125" s="22"/>
      <c r="C125" s="23"/>
      <c r="D125" s="21"/>
      <c r="E125" s="23"/>
      <c r="F125" s="21"/>
      <c r="G125" s="21"/>
      <c r="H125" s="21"/>
      <c r="I125" s="21"/>
      <c r="J125" s="21"/>
      <c r="K125" s="64" t="s">
        <v>136</v>
      </c>
      <c r="L125" s="59">
        <f t="shared" ref="L125:AE125" si="19">SUMIF($E8:$E111, "*"&amp;$K125&amp;"*",L8:L111)</f>
        <v>1</v>
      </c>
      <c r="M125" s="59">
        <f t="shared" si="19"/>
        <v>2</v>
      </c>
      <c r="N125" s="59">
        <f t="shared" si="19"/>
        <v>2</v>
      </c>
      <c r="O125" s="59">
        <f t="shared" si="19"/>
        <v>2</v>
      </c>
      <c r="P125" s="59">
        <f t="shared" si="19"/>
        <v>2</v>
      </c>
      <c r="Q125" s="59">
        <f t="shared" si="19"/>
        <v>2</v>
      </c>
      <c r="R125" s="59">
        <f t="shared" si="19"/>
        <v>4</v>
      </c>
      <c r="S125" s="59">
        <f t="shared" si="19"/>
        <v>8</v>
      </c>
      <c r="T125" s="59">
        <f t="shared" si="19"/>
        <v>5</v>
      </c>
      <c r="U125" s="59">
        <f t="shared" si="19"/>
        <v>4</v>
      </c>
      <c r="V125" s="59">
        <f t="shared" si="19"/>
        <v>3</v>
      </c>
      <c r="W125" s="59">
        <f t="shared" si="19"/>
        <v>0</v>
      </c>
      <c r="X125" s="59">
        <f t="shared" si="19"/>
        <v>0</v>
      </c>
      <c r="Y125" s="59">
        <f t="shared" si="19"/>
        <v>0</v>
      </c>
      <c r="Z125" s="59">
        <f t="shared" si="19"/>
        <v>0</v>
      </c>
      <c r="AA125" s="59">
        <f t="shared" si="19"/>
        <v>0</v>
      </c>
      <c r="AB125" s="59">
        <f t="shared" si="19"/>
        <v>3</v>
      </c>
      <c r="AC125" s="59">
        <f t="shared" si="19"/>
        <v>3</v>
      </c>
      <c r="AD125" s="59">
        <f t="shared" si="19"/>
        <v>3</v>
      </c>
      <c r="AE125" s="59">
        <f t="shared" si="19"/>
        <v>0</v>
      </c>
      <c r="AF125" s="59">
        <v>1</v>
      </c>
      <c r="AG125" s="59">
        <f t="shared" si="16"/>
        <v>45</v>
      </c>
    </row>
    <row r="126" spans="1:33" ht="15.6" x14ac:dyDescent="0.3">
      <c r="A126" s="21"/>
      <c r="B126" s="22"/>
      <c r="C126" s="23"/>
      <c r="D126" s="21"/>
      <c r="E126" s="23"/>
      <c r="F126" s="21"/>
      <c r="G126" s="21"/>
      <c r="H126" s="21"/>
      <c r="I126" s="21"/>
      <c r="J126" s="21"/>
      <c r="K126" s="63" t="s">
        <v>151</v>
      </c>
      <c r="L126" s="59">
        <f t="shared" ref="L126:AE126" si="20">SUMIF($E8:$E111, "*"&amp;$K126&amp;"*",L8:L111)</f>
        <v>0</v>
      </c>
      <c r="M126" s="59">
        <f t="shared" si="20"/>
        <v>2</v>
      </c>
      <c r="N126" s="59">
        <f t="shared" si="20"/>
        <v>4</v>
      </c>
      <c r="O126" s="59">
        <f t="shared" si="20"/>
        <v>2</v>
      </c>
      <c r="P126" s="59">
        <f t="shared" si="20"/>
        <v>5</v>
      </c>
      <c r="Q126" s="59">
        <f t="shared" si="20"/>
        <v>4</v>
      </c>
      <c r="R126" s="59">
        <f t="shared" si="20"/>
        <v>6</v>
      </c>
      <c r="S126" s="59">
        <f t="shared" si="20"/>
        <v>10</v>
      </c>
      <c r="T126" s="59">
        <f t="shared" si="20"/>
        <v>7</v>
      </c>
      <c r="U126" s="59">
        <f t="shared" si="20"/>
        <v>5</v>
      </c>
      <c r="V126" s="59">
        <f t="shared" si="20"/>
        <v>4</v>
      </c>
      <c r="W126" s="59">
        <f t="shared" si="20"/>
        <v>1</v>
      </c>
      <c r="X126" s="59">
        <f t="shared" si="20"/>
        <v>1</v>
      </c>
      <c r="Y126" s="59">
        <f t="shared" si="20"/>
        <v>1</v>
      </c>
      <c r="Z126" s="59">
        <f t="shared" si="20"/>
        <v>0</v>
      </c>
      <c r="AA126" s="59">
        <f t="shared" si="20"/>
        <v>0</v>
      </c>
      <c r="AB126" s="59">
        <f t="shared" si="20"/>
        <v>3</v>
      </c>
      <c r="AC126" s="59">
        <f t="shared" si="20"/>
        <v>3</v>
      </c>
      <c r="AD126" s="59">
        <f t="shared" si="20"/>
        <v>3</v>
      </c>
      <c r="AE126" s="59">
        <f t="shared" si="20"/>
        <v>0</v>
      </c>
      <c r="AF126" s="59">
        <v>1</v>
      </c>
      <c r="AG126" s="59">
        <f t="shared" si="16"/>
        <v>62</v>
      </c>
    </row>
    <row r="127" spans="1:33" ht="13.8" x14ac:dyDescent="0.3">
      <c r="A127" s="21"/>
      <c r="B127" s="22"/>
      <c r="C127" s="23"/>
      <c r="D127" s="21"/>
      <c r="E127" s="23"/>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row>
    <row r="128" spans="1:33" ht="13.8" x14ac:dyDescent="0.3">
      <c r="A128" s="21"/>
      <c r="B128" s="22"/>
      <c r="C128" s="23"/>
      <c r="D128" s="21"/>
      <c r="E128" s="23"/>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row>
    <row r="129" spans="1:33" ht="13.5" customHeight="1" x14ac:dyDescent="0.3">
      <c r="A129" s="21"/>
      <c r="B129" s="22"/>
      <c r="C129" s="23"/>
      <c r="D129" s="21"/>
      <c r="E129" s="23"/>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row>
    <row r="130" spans="1:33" ht="13.5" customHeight="1" x14ac:dyDescent="0.3">
      <c r="A130" s="21"/>
      <c r="B130" s="22"/>
      <c r="C130" s="23"/>
      <c r="D130" s="21"/>
      <c r="E130" s="23"/>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row>
    <row r="131" spans="1:33" ht="13.5" customHeight="1" x14ac:dyDescent="0.3">
      <c r="A131" s="21"/>
      <c r="B131" s="22"/>
      <c r="C131" s="23"/>
      <c r="D131" s="21"/>
      <c r="E131" s="23"/>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row>
    <row r="132" spans="1:33" ht="13.5" customHeight="1" x14ac:dyDescent="0.3">
      <c r="A132" s="21"/>
      <c r="B132" s="22"/>
      <c r="C132" s="23"/>
      <c r="D132" s="21"/>
      <c r="E132" s="23"/>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row>
    <row r="133" spans="1:33" ht="13.5" customHeight="1" x14ac:dyDescent="0.3">
      <c r="A133" s="21"/>
      <c r="B133" s="22"/>
      <c r="C133" s="23"/>
      <c r="D133" s="21"/>
      <c r="E133" s="23"/>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row>
    <row r="134" spans="1:33" ht="13.5" customHeight="1" x14ac:dyDescent="0.3">
      <c r="A134" s="21"/>
      <c r="B134" s="22"/>
      <c r="C134" s="23"/>
      <c r="D134" s="21"/>
      <c r="E134" s="23"/>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row>
    <row r="135" spans="1:33" ht="13.5" customHeight="1" x14ac:dyDescent="0.3">
      <c r="A135" s="21"/>
      <c r="B135" s="22"/>
      <c r="C135" s="23"/>
      <c r="D135" s="21"/>
      <c r="E135" s="23"/>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row>
    <row r="136" spans="1:33" ht="13.5" customHeight="1" x14ac:dyDescent="0.3">
      <c r="A136" s="21"/>
      <c r="B136" s="22"/>
      <c r="C136" s="23"/>
      <c r="D136" s="21"/>
      <c r="E136" s="23"/>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row>
    <row r="137" spans="1:33" ht="13.5" customHeight="1" x14ac:dyDescent="0.3">
      <c r="A137" s="21"/>
      <c r="B137" s="22"/>
      <c r="C137" s="23"/>
      <c r="D137" s="21"/>
      <c r="E137" s="23"/>
      <c r="F137" s="21"/>
      <c r="G137" s="21"/>
      <c r="H137" s="21"/>
      <c r="I137" s="21"/>
      <c r="J137" s="21"/>
      <c r="K137" s="21"/>
      <c r="L137" s="21"/>
      <c r="M137" s="21" t="s">
        <v>239</v>
      </c>
      <c r="N137" s="21"/>
      <c r="O137" s="21"/>
      <c r="P137" s="21"/>
      <c r="Q137" s="21"/>
      <c r="R137" s="21"/>
      <c r="S137" s="21"/>
      <c r="T137" s="21"/>
      <c r="U137" s="21"/>
      <c r="V137" s="21"/>
      <c r="W137" s="21"/>
      <c r="X137" s="21"/>
      <c r="Y137" s="21"/>
      <c r="Z137" s="21"/>
      <c r="AA137" s="21"/>
      <c r="AB137" s="21"/>
      <c r="AC137" s="21"/>
      <c r="AD137" s="21"/>
      <c r="AE137" s="21"/>
      <c r="AF137" s="21"/>
      <c r="AG137" s="21"/>
    </row>
    <row r="138" spans="1:33" ht="13.5" customHeight="1" x14ac:dyDescent="0.3">
      <c r="A138" s="21"/>
      <c r="B138" s="22"/>
      <c r="C138" s="23"/>
      <c r="D138" s="21"/>
      <c r="E138" s="23"/>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row>
    <row r="139" spans="1:33" ht="13.5" customHeight="1" x14ac:dyDescent="0.3">
      <c r="A139" s="21"/>
      <c r="B139" s="22"/>
      <c r="C139" s="23"/>
      <c r="D139" s="21"/>
      <c r="E139" s="23"/>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row>
    <row r="140" spans="1:33" ht="13.5" customHeight="1" x14ac:dyDescent="0.3">
      <c r="A140" s="21"/>
      <c r="B140" s="22"/>
      <c r="C140" s="23"/>
      <c r="D140" s="21"/>
      <c r="E140" s="23"/>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row>
    <row r="141" spans="1:33" ht="13.5" customHeight="1" x14ac:dyDescent="0.3">
      <c r="A141" s="21"/>
      <c r="B141" s="22"/>
      <c r="C141" s="23"/>
      <c r="D141" s="21"/>
      <c r="E141" s="23"/>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row>
    <row r="142" spans="1:33" ht="13.5" customHeight="1" x14ac:dyDescent="0.3">
      <c r="A142" s="21"/>
      <c r="B142" s="22"/>
      <c r="C142" s="23"/>
      <c r="D142" s="21"/>
      <c r="E142" s="23"/>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row>
    <row r="143" spans="1:33" ht="13.5" customHeight="1" x14ac:dyDescent="0.3">
      <c r="A143" s="21"/>
      <c r="B143" s="22"/>
      <c r="C143" s="23"/>
      <c r="D143" s="21"/>
      <c r="E143" s="23"/>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row>
    <row r="144" spans="1:33" ht="13.5" customHeight="1" x14ac:dyDescent="0.3">
      <c r="A144" s="21"/>
      <c r="B144" s="22"/>
      <c r="C144" s="23"/>
      <c r="D144" s="21"/>
      <c r="E144" s="23"/>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row>
    <row r="145" spans="1:33" ht="13.5" customHeight="1" x14ac:dyDescent="0.3">
      <c r="A145" s="21"/>
      <c r="B145" s="22"/>
      <c r="C145" s="23"/>
      <c r="D145" s="21"/>
      <c r="E145" s="23"/>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row>
    <row r="146" spans="1:33" ht="13.5" customHeight="1" x14ac:dyDescent="0.3">
      <c r="A146" s="21"/>
      <c r="B146" s="22"/>
      <c r="C146" s="23"/>
      <c r="D146" s="21"/>
      <c r="E146" s="23"/>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row>
    <row r="147" spans="1:33" ht="13.5" customHeight="1" x14ac:dyDescent="0.3">
      <c r="A147" s="21"/>
      <c r="B147" s="22"/>
      <c r="C147" s="23"/>
      <c r="D147" s="21"/>
      <c r="E147" s="23"/>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row>
    <row r="148" spans="1:33" ht="13.5" customHeight="1" x14ac:dyDescent="0.3">
      <c r="A148" s="21"/>
      <c r="B148" s="22"/>
      <c r="C148" s="23"/>
      <c r="D148" s="21"/>
      <c r="E148" s="23"/>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row>
    <row r="149" spans="1:33" ht="13.5" customHeight="1" x14ac:dyDescent="0.3">
      <c r="A149" s="21"/>
      <c r="B149" s="22"/>
      <c r="C149" s="23"/>
      <c r="D149" s="21"/>
      <c r="E149" s="23"/>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row>
    <row r="150" spans="1:33" ht="13.5" customHeight="1" x14ac:dyDescent="0.3">
      <c r="A150" s="21"/>
      <c r="B150" s="22"/>
      <c r="C150" s="23"/>
      <c r="D150" s="21"/>
      <c r="E150" s="23"/>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row>
    <row r="151" spans="1:33" ht="13.5" customHeight="1" x14ac:dyDescent="0.3">
      <c r="A151" s="21"/>
      <c r="B151" s="22"/>
      <c r="C151" s="23"/>
      <c r="D151" s="21"/>
      <c r="E151" s="23"/>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row>
    <row r="152" spans="1:33" ht="13.5" customHeight="1" x14ac:dyDescent="0.3">
      <c r="A152" s="21"/>
      <c r="B152" s="22"/>
      <c r="C152" s="23"/>
      <c r="D152" s="21"/>
      <c r="E152" s="23"/>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row>
    <row r="153" spans="1:33" ht="13.5" customHeight="1" x14ac:dyDescent="0.3">
      <c r="A153" s="21"/>
      <c r="B153" s="22"/>
      <c r="C153" s="23"/>
      <c r="D153" s="21"/>
      <c r="E153" s="23"/>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row>
    <row r="154" spans="1:33" ht="13.5" customHeight="1" x14ac:dyDescent="0.3">
      <c r="A154" s="21"/>
      <c r="B154" s="22"/>
      <c r="C154" s="23"/>
      <c r="D154" s="21"/>
      <c r="E154" s="23"/>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row>
    <row r="155" spans="1:33" ht="13.5" customHeight="1" x14ac:dyDescent="0.3">
      <c r="A155" s="21"/>
      <c r="B155" s="22"/>
      <c r="C155" s="23"/>
      <c r="D155" s="21"/>
      <c r="E155" s="23"/>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row>
    <row r="156" spans="1:33" ht="13.5" customHeight="1" x14ac:dyDescent="0.3">
      <c r="A156" s="21"/>
      <c r="B156" s="22"/>
      <c r="C156" s="23"/>
      <c r="D156" s="21"/>
      <c r="E156" s="23"/>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row>
    <row r="157" spans="1:33" ht="13.5" customHeight="1" x14ac:dyDescent="0.3">
      <c r="A157" s="21"/>
      <c r="B157" s="22"/>
      <c r="C157" s="23"/>
      <c r="D157" s="21"/>
      <c r="E157" s="23"/>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row>
    <row r="158" spans="1:33" ht="13.5" customHeight="1" x14ac:dyDescent="0.3">
      <c r="A158" s="21"/>
      <c r="B158" s="22"/>
      <c r="C158" s="23"/>
      <c r="D158" s="21"/>
      <c r="E158" s="23"/>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row>
    <row r="159" spans="1:33" ht="13.5" customHeight="1" x14ac:dyDescent="0.3">
      <c r="A159" s="21"/>
      <c r="B159" s="22"/>
      <c r="C159" s="23"/>
      <c r="D159" s="21"/>
      <c r="E159" s="23"/>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row>
    <row r="160" spans="1:33" ht="13.5" customHeight="1" x14ac:dyDescent="0.3">
      <c r="A160" s="21"/>
      <c r="B160" s="22"/>
      <c r="C160" s="23"/>
      <c r="D160" s="21"/>
      <c r="E160" s="23"/>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row>
    <row r="161" spans="1:33" ht="13.5" customHeight="1" x14ac:dyDescent="0.3">
      <c r="A161" s="21"/>
      <c r="B161" s="22"/>
      <c r="C161" s="23"/>
      <c r="D161" s="21"/>
      <c r="E161" s="23"/>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row>
    <row r="162" spans="1:33" ht="13.5" customHeight="1" x14ac:dyDescent="0.3">
      <c r="A162" s="21"/>
      <c r="B162" s="22"/>
      <c r="C162" s="23"/>
      <c r="D162" s="21"/>
      <c r="E162" s="23"/>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row>
    <row r="163" spans="1:33" ht="13.5" customHeight="1" x14ac:dyDescent="0.3">
      <c r="A163" s="21"/>
      <c r="B163" s="22"/>
      <c r="C163" s="23"/>
      <c r="D163" s="21"/>
      <c r="E163" s="23"/>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row>
    <row r="164" spans="1:33" ht="13.5" customHeight="1" x14ac:dyDescent="0.3">
      <c r="A164" s="21"/>
      <c r="B164" s="22"/>
      <c r="C164" s="23"/>
      <c r="D164" s="21"/>
      <c r="E164" s="23"/>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row>
    <row r="165" spans="1:33" ht="13.5" customHeight="1" x14ac:dyDescent="0.3">
      <c r="A165" s="21"/>
      <c r="B165" s="22"/>
      <c r="C165" s="23"/>
      <c r="D165" s="21"/>
      <c r="E165" s="23"/>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row>
    <row r="166" spans="1:33" ht="13.5" customHeight="1" x14ac:dyDescent="0.3">
      <c r="A166" s="21"/>
      <c r="B166" s="22"/>
      <c r="C166" s="23"/>
      <c r="D166" s="21"/>
      <c r="E166" s="23"/>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row>
    <row r="167" spans="1:33" ht="13.5" customHeight="1" x14ac:dyDescent="0.3">
      <c r="A167" s="21"/>
      <c r="B167" s="22"/>
      <c r="C167" s="23"/>
      <c r="D167" s="21"/>
      <c r="E167" s="23"/>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row>
    <row r="168" spans="1:33" ht="13.5" customHeight="1" x14ac:dyDescent="0.3">
      <c r="A168" s="21"/>
      <c r="B168" s="22"/>
      <c r="C168" s="23"/>
      <c r="D168" s="21"/>
      <c r="E168" s="23"/>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row>
    <row r="169" spans="1:33" ht="13.5" customHeight="1" x14ac:dyDescent="0.3">
      <c r="A169" s="21"/>
      <c r="B169" s="22"/>
      <c r="C169" s="23"/>
      <c r="D169" s="21"/>
      <c r="E169" s="23"/>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row>
    <row r="170" spans="1:33" ht="13.5" customHeight="1" x14ac:dyDescent="0.3">
      <c r="A170" s="21"/>
      <c r="B170" s="22"/>
      <c r="C170" s="23"/>
      <c r="D170" s="21"/>
      <c r="E170" s="23"/>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row>
    <row r="171" spans="1:33" ht="13.5" customHeight="1" x14ac:dyDescent="0.3">
      <c r="A171" s="21"/>
      <c r="B171" s="22"/>
      <c r="C171" s="23"/>
      <c r="D171" s="21"/>
      <c r="E171" s="23"/>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row>
    <row r="172" spans="1:33" ht="13.5" customHeight="1" x14ac:dyDescent="0.3">
      <c r="A172" s="21"/>
      <c r="B172" s="22"/>
      <c r="C172" s="23"/>
      <c r="D172" s="21"/>
      <c r="E172" s="23"/>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row>
    <row r="173" spans="1:33" ht="13.5" customHeight="1" x14ac:dyDescent="0.3">
      <c r="A173" s="21"/>
      <c r="B173" s="22"/>
      <c r="C173" s="23"/>
      <c r="D173" s="21"/>
      <c r="E173" s="23"/>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row>
    <row r="174" spans="1:33" ht="13.5" customHeight="1" x14ac:dyDescent="0.3">
      <c r="A174" s="21"/>
      <c r="B174" s="22"/>
      <c r="C174" s="23"/>
      <c r="D174" s="21"/>
      <c r="E174" s="23"/>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row>
    <row r="175" spans="1:33" ht="13.5" customHeight="1" x14ac:dyDescent="0.3">
      <c r="A175" s="21"/>
      <c r="B175" s="22"/>
      <c r="C175" s="23"/>
      <c r="D175" s="21"/>
      <c r="E175" s="23"/>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row>
    <row r="176" spans="1:33" ht="13.5" customHeight="1" x14ac:dyDescent="0.3">
      <c r="A176" s="21"/>
      <c r="B176" s="22"/>
      <c r="C176" s="23"/>
      <c r="D176" s="21"/>
      <c r="E176" s="23"/>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row>
    <row r="177" spans="1:33" ht="13.5" customHeight="1" x14ac:dyDescent="0.3">
      <c r="A177" s="21"/>
      <c r="B177" s="22"/>
      <c r="C177" s="23"/>
      <c r="D177" s="21"/>
      <c r="E177" s="23"/>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row>
    <row r="178" spans="1:33" ht="13.5" customHeight="1" x14ac:dyDescent="0.3">
      <c r="A178" s="21"/>
      <c r="B178" s="22"/>
      <c r="C178" s="23"/>
      <c r="D178" s="21"/>
      <c r="E178" s="23"/>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row>
    <row r="179" spans="1:33" ht="13.5" customHeight="1" x14ac:dyDescent="0.3">
      <c r="A179" s="21"/>
      <c r="B179" s="22"/>
      <c r="C179" s="23"/>
      <c r="D179" s="21"/>
      <c r="E179" s="23"/>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row>
    <row r="180" spans="1:33" ht="13.5" customHeight="1" x14ac:dyDescent="0.3">
      <c r="A180" s="21"/>
      <c r="B180" s="22"/>
      <c r="C180" s="23"/>
      <c r="D180" s="21"/>
      <c r="E180" s="23"/>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row>
    <row r="181" spans="1:33" ht="13.5" customHeight="1" x14ac:dyDescent="0.3">
      <c r="A181" s="21"/>
      <c r="B181" s="22"/>
      <c r="C181" s="23"/>
      <c r="D181" s="21"/>
      <c r="E181" s="23"/>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row>
    <row r="182" spans="1:33" ht="13.5" customHeight="1" x14ac:dyDescent="0.3">
      <c r="A182" s="21"/>
      <c r="B182" s="22"/>
      <c r="C182" s="23"/>
      <c r="D182" s="21"/>
      <c r="E182" s="23"/>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row>
    <row r="183" spans="1:33" ht="13.5" customHeight="1" x14ac:dyDescent="0.3">
      <c r="A183" s="21"/>
      <c r="B183" s="22"/>
      <c r="C183" s="23"/>
      <c r="D183" s="21"/>
      <c r="E183" s="23"/>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row>
    <row r="184" spans="1:33" ht="13.5" customHeight="1" x14ac:dyDescent="0.3">
      <c r="A184" s="21"/>
      <c r="B184" s="22"/>
      <c r="C184" s="23"/>
      <c r="D184" s="21"/>
      <c r="E184" s="23"/>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row>
    <row r="185" spans="1:33" ht="13.5" customHeight="1" x14ac:dyDescent="0.3">
      <c r="A185" s="21"/>
      <c r="B185" s="22"/>
      <c r="C185" s="23"/>
      <c r="D185" s="21"/>
      <c r="E185" s="23"/>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row>
    <row r="186" spans="1:33" ht="13.5" customHeight="1" x14ac:dyDescent="0.3">
      <c r="A186" s="21"/>
      <c r="B186" s="22"/>
      <c r="C186" s="23"/>
      <c r="D186" s="21"/>
      <c r="E186" s="23"/>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row>
    <row r="187" spans="1:33" ht="13.5" customHeight="1" x14ac:dyDescent="0.3">
      <c r="A187" s="21"/>
      <c r="B187" s="22"/>
      <c r="C187" s="23"/>
      <c r="D187" s="21"/>
      <c r="E187" s="23"/>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row>
    <row r="188" spans="1:33" ht="13.5" customHeight="1" x14ac:dyDescent="0.3">
      <c r="A188" s="21"/>
      <c r="B188" s="22"/>
      <c r="C188" s="23"/>
      <c r="D188" s="21"/>
      <c r="E188" s="23"/>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row>
    <row r="189" spans="1:33" ht="13.5" customHeight="1" x14ac:dyDescent="0.3">
      <c r="A189" s="21"/>
      <c r="B189" s="22"/>
      <c r="C189" s="23"/>
      <c r="D189" s="21"/>
      <c r="E189" s="23"/>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row>
    <row r="190" spans="1:33" ht="13.5" customHeight="1" x14ac:dyDescent="0.3">
      <c r="A190" s="21"/>
      <c r="B190" s="22"/>
      <c r="C190" s="23"/>
      <c r="D190" s="21"/>
      <c r="E190" s="23"/>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row>
    <row r="191" spans="1:33" ht="13.5" customHeight="1" x14ac:dyDescent="0.3">
      <c r="A191" s="21"/>
      <c r="B191" s="22"/>
      <c r="C191" s="23"/>
      <c r="D191" s="21"/>
      <c r="E191" s="23"/>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row>
    <row r="192" spans="1:33" ht="13.5" customHeight="1" x14ac:dyDescent="0.3">
      <c r="A192" s="21"/>
      <c r="B192" s="22"/>
      <c r="C192" s="23"/>
      <c r="D192" s="21"/>
      <c r="E192" s="23"/>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row>
    <row r="193" spans="1:33" ht="13.5" customHeight="1" x14ac:dyDescent="0.3">
      <c r="A193" s="21"/>
      <c r="B193" s="22"/>
      <c r="C193" s="23"/>
      <c r="D193" s="21"/>
      <c r="E193" s="23"/>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row>
    <row r="194" spans="1:33" ht="13.5" customHeight="1" x14ac:dyDescent="0.3">
      <c r="A194" s="21"/>
      <c r="B194" s="22"/>
      <c r="C194" s="23"/>
      <c r="D194" s="21"/>
      <c r="E194" s="23"/>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row>
    <row r="195" spans="1:33" ht="13.5" customHeight="1" x14ac:dyDescent="0.3">
      <c r="A195" s="21"/>
      <c r="B195" s="22"/>
      <c r="C195" s="23"/>
      <c r="D195" s="21"/>
      <c r="E195" s="23"/>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row>
    <row r="196" spans="1:33" ht="13.5" customHeight="1" x14ac:dyDescent="0.3">
      <c r="A196" s="21"/>
      <c r="B196" s="22"/>
      <c r="C196" s="23"/>
      <c r="D196" s="21"/>
      <c r="E196" s="23"/>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row>
    <row r="197" spans="1:33" ht="13.5" customHeight="1" x14ac:dyDescent="0.3">
      <c r="A197" s="21"/>
      <c r="B197" s="22"/>
      <c r="C197" s="23"/>
      <c r="D197" s="21"/>
      <c r="E197" s="23"/>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row>
    <row r="198" spans="1:33" ht="13.5" customHeight="1" x14ac:dyDescent="0.3">
      <c r="A198" s="21"/>
      <c r="B198" s="22"/>
      <c r="C198" s="23"/>
      <c r="D198" s="21"/>
      <c r="E198" s="23"/>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row>
    <row r="199" spans="1:33" ht="13.5" customHeight="1" x14ac:dyDescent="0.3">
      <c r="A199" s="21"/>
      <c r="B199" s="22"/>
      <c r="C199" s="23"/>
      <c r="D199" s="21"/>
      <c r="E199" s="23"/>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row>
    <row r="200" spans="1:33" ht="13.5" customHeight="1" x14ac:dyDescent="0.3">
      <c r="A200" s="21"/>
      <c r="B200" s="22"/>
      <c r="C200" s="23"/>
      <c r="D200" s="21"/>
      <c r="E200" s="23"/>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row>
    <row r="201" spans="1:33" ht="13.5" customHeight="1" x14ac:dyDescent="0.3">
      <c r="A201" s="21"/>
      <c r="B201" s="22"/>
      <c r="C201" s="23"/>
      <c r="D201" s="21"/>
      <c r="E201" s="23"/>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row>
    <row r="202" spans="1:33" ht="13.5" customHeight="1" x14ac:dyDescent="0.3">
      <c r="A202" s="21"/>
      <c r="B202" s="22"/>
      <c r="C202" s="23"/>
      <c r="D202" s="21"/>
      <c r="E202" s="23"/>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row>
    <row r="203" spans="1:33" ht="13.5" customHeight="1" x14ac:dyDescent="0.3">
      <c r="A203" s="21"/>
      <c r="B203" s="22"/>
      <c r="C203" s="23"/>
      <c r="D203" s="21"/>
      <c r="E203" s="23"/>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row>
    <row r="204" spans="1:33" ht="13.5" customHeight="1" x14ac:dyDescent="0.3">
      <c r="A204" s="21"/>
      <c r="B204" s="22"/>
      <c r="C204" s="23"/>
      <c r="D204" s="21"/>
      <c r="E204" s="23"/>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row>
    <row r="205" spans="1:33" ht="13.5" customHeight="1" x14ac:dyDescent="0.3">
      <c r="A205" s="21"/>
      <c r="B205" s="22"/>
      <c r="C205" s="23"/>
      <c r="D205" s="21"/>
      <c r="E205" s="23"/>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row>
    <row r="206" spans="1:33" ht="13.5" customHeight="1" x14ac:dyDescent="0.3">
      <c r="A206" s="21"/>
      <c r="B206" s="22"/>
      <c r="C206" s="23"/>
      <c r="D206" s="21"/>
      <c r="E206" s="23"/>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row>
    <row r="207" spans="1:33" ht="13.5" customHeight="1" x14ac:dyDescent="0.3">
      <c r="A207" s="21"/>
      <c r="B207" s="22"/>
      <c r="C207" s="23"/>
      <c r="D207" s="21"/>
      <c r="E207" s="23"/>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row>
    <row r="208" spans="1:33" ht="13.5" customHeight="1" x14ac:dyDescent="0.3">
      <c r="A208" s="21"/>
      <c r="B208" s="22"/>
      <c r="C208" s="23"/>
      <c r="D208" s="21"/>
      <c r="E208" s="23"/>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row>
    <row r="209" spans="1:33" ht="13.5" customHeight="1" x14ac:dyDescent="0.3">
      <c r="A209" s="21"/>
      <c r="B209" s="22"/>
      <c r="C209" s="23"/>
      <c r="D209" s="21"/>
      <c r="E209" s="23"/>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row>
    <row r="210" spans="1:33" ht="13.5" customHeight="1" x14ac:dyDescent="0.3">
      <c r="A210" s="21"/>
      <c r="B210" s="22"/>
      <c r="C210" s="23"/>
      <c r="D210" s="21"/>
      <c r="E210" s="23"/>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row>
    <row r="211" spans="1:33" ht="13.5" customHeight="1" x14ac:dyDescent="0.3">
      <c r="A211" s="21"/>
      <c r="B211" s="22"/>
      <c r="C211" s="23"/>
      <c r="D211" s="21"/>
      <c r="E211" s="23"/>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row>
    <row r="212" spans="1:33" ht="13.5" customHeight="1" x14ac:dyDescent="0.3">
      <c r="A212" s="21"/>
      <c r="B212" s="22"/>
      <c r="C212" s="23"/>
      <c r="D212" s="21"/>
      <c r="E212" s="23"/>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row>
    <row r="213" spans="1:33" ht="13.5" customHeight="1" x14ac:dyDescent="0.3">
      <c r="A213" s="21"/>
      <c r="B213" s="22"/>
      <c r="C213" s="23"/>
      <c r="D213" s="21"/>
      <c r="E213" s="23"/>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row>
    <row r="214" spans="1:33" ht="13.5" customHeight="1" x14ac:dyDescent="0.3">
      <c r="A214" s="21"/>
      <c r="B214" s="22"/>
      <c r="C214" s="23"/>
      <c r="D214" s="21"/>
      <c r="E214" s="23"/>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row>
    <row r="215" spans="1:33" ht="13.5" customHeight="1" x14ac:dyDescent="0.3">
      <c r="A215" s="21"/>
      <c r="B215" s="22"/>
      <c r="C215" s="23"/>
      <c r="D215" s="21"/>
      <c r="E215" s="23"/>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row>
    <row r="216" spans="1:33" ht="13.5" customHeight="1" x14ac:dyDescent="0.3">
      <c r="A216" s="21"/>
      <c r="B216" s="22"/>
      <c r="C216" s="23"/>
      <c r="D216" s="21"/>
      <c r="E216" s="23"/>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row>
    <row r="217" spans="1:33" ht="13.5" customHeight="1" x14ac:dyDescent="0.3">
      <c r="A217" s="21"/>
      <c r="B217" s="22"/>
      <c r="C217" s="23"/>
      <c r="D217" s="21"/>
      <c r="E217" s="23"/>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row>
    <row r="218" spans="1:33" ht="13.5" customHeight="1" x14ac:dyDescent="0.3">
      <c r="A218" s="21"/>
      <c r="B218" s="22"/>
      <c r="C218" s="23"/>
      <c r="D218" s="21"/>
      <c r="E218" s="23"/>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row>
    <row r="219" spans="1:33" ht="13.5" customHeight="1" x14ac:dyDescent="0.3">
      <c r="A219" s="21"/>
      <c r="B219" s="22"/>
      <c r="C219" s="23"/>
      <c r="D219" s="21"/>
      <c r="E219" s="23"/>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row>
    <row r="220" spans="1:33" ht="13.5" customHeight="1" x14ac:dyDescent="0.3">
      <c r="A220" s="21"/>
      <c r="B220" s="22"/>
      <c r="C220" s="23"/>
      <c r="D220" s="21"/>
      <c r="E220" s="23"/>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row>
    <row r="221" spans="1:33" ht="13.5" customHeight="1" x14ac:dyDescent="0.3">
      <c r="A221" s="21"/>
      <c r="B221" s="22"/>
      <c r="C221" s="23"/>
      <c r="D221" s="21"/>
      <c r="E221" s="23"/>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row>
    <row r="222" spans="1:33" ht="13.5" customHeight="1" x14ac:dyDescent="0.3">
      <c r="A222" s="21"/>
      <c r="B222" s="22"/>
      <c r="C222" s="23"/>
      <c r="D222" s="21"/>
      <c r="E222" s="23"/>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row>
    <row r="223" spans="1:33" ht="13.5" customHeight="1" x14ac:dyDescent="0.3">
      <c r="A223" s="21"/>
      <c r="B223" s="22"/>
      <c r="C223" s="23"/>
      <c r="D223" s="21"/>
      <c r="E223" s="23"/>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row>
    <row r="224" spans="1:33" ht="13.5" customHeight="1" x14ac:dyDescent="0.3">
      <c r="A224" s="21"/>
      <c r="B224" s="22"/>
      <c r="C224" s="23"/>
      <c r="D224" s="21"/>
      <c r="E224" s="23"/>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row>
    <row r="225" spans="1:33" ht="13.5" customHeight="1" x14ac:dyDescent="0.3">
      <c r="A225" s="21"/>
      <c r="B225" s="22"/>
      <c r="C225" s="23"/>
      <c r="D225" s="21"/>
      <c r="E225" s="23"/>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row>
    <row r="226" spans="1:33" ht="13.5" customHeight="1" x14ac:dyDescent="0.3">
      <c r="A226" s="21"/>
      <c r="B226" s="22"/>
      <c r="C226" s="23"/>
      <c r="D226" s="21"/>
      <c r="E226" s="23"/>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row>
    <row r="227" spans="1:33" ht="13.5" customHeight="1" x14ac:dyDescent="0.3">
      <c r="A227" s="21"/>
      <c r="B227" s="22"/>
      <c r="C227" s="23"/>
      <c r="D227" s="21"/>
      <c r="E227" s="23"/>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row>
    <row r="228" spans="1:33" ht="13.5" customHeight="1" x14ac:dyDescent="0.3">
      <c r="A228" s="21"/>
      <c r="B228" s="22"/>
      <c r="C228" s="23"/>
      <c r="D228" s="21"/>
      <c r="E228" s="23"/>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row>
    <row r="229" spans="1:33" ht="13.5" customHeight="1" x14ac:dyDescent="0.3">
      <c r="A229" s="21"/>
      <c r="B229" s="22"/>
      <c r="C229" s="23"/>
      <c r="D229" s="21"/>
      <c r="E229" s="23"/>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row>
    <row r="230" spans="1:33" ht="13.5" customHeight="1" x14ac:dyDescent="0.3">
      <c r="A230" s="21"/>
      <c r="B230" s="22"/>
      <c r="C230" s="23"/>
      <c r="D230" s="21"/>
      <c r="E230" s="23"/>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row>
    <row r="231" spans="1:33" ht="13.5" customHeight="1" x14ac:dyDescent="0.3">
      <c r="A231" s="21"/>
      <c r="B231" s="22"/>
      <c r="C231" s="23"/>
      <c r="D231" s="21"/>
      <c r="E231" s="23"/>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row>
    <row r="232" spans="1:33" ht="13.5" customHeight="1" x14ac:dyDescent="0.3">
      <c r="A232" s="21"/>
      <c r="B232" s="22"/>
      <c r="C232" s="23"/>
      <c r="D232" s="21"/>
      <c r="E232" s="23"/>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row>
    <row r="233" spans="1:33" ht="13.5" customHeight="1" x14ac:dyDescent="0.3">
      <c r="A233" s="21"/>
      <c r="B233" s="22"/>
      <c r="C233" s="23"/>
      <c r="D233" s="21"/>
      <c r="E233" s="23"/>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row>
    <row r="234" spans="1:33" ht="13.5" customHeight="1" x14ac:dyDescent="0.3">
      <c r="A234" s="21"/>
      <c r="B234" s="22"/>
      <c r="C234" s="23"/>
      <c r="D234" s="21"/>
      <c r="E234" s="23"/>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row>
    <row r="235" spans="1:33" ht="13.5" customHeight="1" x14ac:dyDescent="0.3">
      <c r="A235" s="21"/>
      <c r="B235" s="22"/>
      <c r="C235" s="23"/>
      <c r="D235" s="21"/>
      <c r="E235" s="23"/>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row>
    <row r="236" spans="1:33" ht="13.5" customHeight="1" x14ac:dyDescent="0.3">
      <c r="A236" s="21"/>
      <c r="B236" s="22"/>
      <c r="C236" s="23"/>
      <c r="D236" s="21"/>
      <c r="E236" s="23"/>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row>
    <row r="237" spans="1:33" ht="13.5" customHeight="1" x14ac:dyDescent="0.3">
      <c r="A237" s="21"/>
      <c r="B237" s="22"/>
      <c r="C237" s="23"/>
      <c r="D237" s="21"/>
      <c r="E237" s="23"/>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row>
    <row r="238" spans="1:33" ht="13.5" customHeight="1" x14ac:dyDescent="0.3">
      <c r="A238" s="21"/>
      <c r="B238" s="22"/>
      <c r="C238" s="23"/>
      <c r="D238" s="21"/>
      <c r="E238" s="23"/>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row>
    <row r="239" spans="1:33" ht="13.5" customHeight="1" x14ac:dyDescent="0.3">
      <c r="A239" s="21"/>
      <c r="B239" s="22"/>
      <c r="C239" s="23"/>
      <c r="D239" s="21"/>
      <c r="E239" s="23"/>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row>
    <row r="240" spans="1:33" ht="13.5" customHeight="1" x14ac:dyDescent="0.3">
      <c r="A240" s="21"/>
      <c r="B240" s="22"/>
      <c r="C240" s="23"/>
      <c r="D240" s="21"/>
      <c r="E240" s="23"/>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row>
    <row r="241" spans="1:33" ht="13.5" customHeight="1" x14ac:dyDescent="0.3">
      <c r="A241" s="21"/>
      <c r="B241" s="22"/>
      <c r="C241" s="23"/>
      <c r="D241" s="21"/>
      <c r="E241" s="23"/>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row>
    <row r="242" spans="1:33" ht="13.5" customHeight="1" x14ac:dyDescent="0.3">
      <c r="A242" s="21"/>
      <c r="B242" s="22"/>
      <c r="C242" s="23"/>
      <c r="D242" s="21"/>
      <c r="E242" s="23"/>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row>
    <row r="243" spans="1:33" ht="13.5" customHeight="1" x14ac:dyDescent="0.3">
      <c r="A243" s="21"/>
      <c r="B243" s="22"/>
      <c r="C243" s="23"/>
      <c r="D243" s="21"/>
      <c r="E243" s="23"/>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row>
    <row r="244" spans="1:33" ht="13.5" customHeight="1" x14ac:dyDescent="0.3">
      <c r="A244" s="21"/>
      <c r="B244" s="22"/>
      <c r="C244" s="23"/>
      <c r="D244" s="21"/>
      <c r="E244" s="23"/>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row>
    <row r="245" spans="1:33" ht="13.5" customHeight="1" x14ac:dyDescent="0.3">
      <c r="A245" s="21"/>
      <c r="B245" s="22"/>
      <c r="C245" s="23"/>
      <c r="D245" s="21"/>
      <c r="E245" s="23"/>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row>
    <row r="246" spans="1:33" ht="13.5" customHeight="1" x14ac:dyDescent="0.3">
      <c r="A246" s="21"/>
      <c r="B246" s="22"/>
      <c r="C246" s="23"/>
      <c r="D246" s="21"/>
      <c r="E246" s="23"/>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row>
    <row r="247" spans="1:33" ht="13.5" customHeight="1" x14ac:dyDescent="0.3">
      <c r="A247" s="21"/>
      <c r="B247" s="22"/>
      <c r="C247" s="23"/>
      <c r="D247" s="21"/>
      <c r="E247" s="23"/>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row>
    <row r="248" spans="1:33" ht="13.5" customHeight="1" x14ac:dyDescent="0.3">
      <c r="A248" s="21"/>
      <c r="B248" s="22"/>
      <c r="C248" s="23"/>
      <c r="D248" s="21"/>
      <c r="E248" s="23"/>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row>
    <row r="249" spans="1:33" ht="13.5" customHeight="1" x14ac:dyDescent="0.3">
      <c r="A249" s="21"/>
      <c r="B249" s="22"/>
      <c r="C249" s="23"/>
      <c r="D249" s="21"/>
      <c r="E249" s="23"/>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row>
    <row r="250" spans="1:33" ht="13.5" customHeight="1" x14ac:dyDescent="0.3">
      <c r="A250" s="21"/>
      <c r="B250" s="22"/>
      <c r="C250" s="23"/>
      <c r="D250" s="21"/>
      <c r="E250" s="23"/>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row>
    <row r="251" spans="1:33" ht="13.5" customHeight="1" x14ac:dyDescent="0.3">
      <c r="A251" s="21"/>
      <c r="B251" s="22"/>
      <c r="C251" s="23"/>
      <c r="D251" s="21"/>
      <c r="E251" s="23"/>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row>
    <row r="252" spans="1:33" ht="13.5" customHeight="1" x14ac:dyDescent="0.3">
      <c r="A252" s="21"/>
      <c r="B252" s="22"/>
      <c r="C252" s="23"/>
      <c r="D252" s="21"/>
      <c r="E252" s="23"/>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row>
    <row r="253" spans="1:33" ht="13.5" customHeight="1" x14ac:dyDescent="0.3">
      <c r="A253" s="21"/>
      <c r="B253" s="22"/>
      <c r="C253" s="23"/>
      <c r="D253" s="21"/>
      <c r="E253" s="23"/>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row>
    <row r="254" spans="1:33" ht="13.5" customHeight="1" x14ac:dyDescent="0.3">
      <c r="A254" s="21"/>
      <c r="B254" s="22"/>
      <c r="C254" s="23"/>
      <c r="D254" s="21"/>
      <c r="E254" s="23"/>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row>
    <row r="255" spans="1:33" ht="13.5" customHeight="1" x14ac:dyDescent="0.3">
      <c r="A255" s="21"/>
      <c r="B255" s="22"/>
      <c r="C255" s="23"/>
      <c r="D255" s="21"/>
      <c r="E255" s="23"/>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row>
    <row r="256" spans="1:33" ht="13.5" customHeight="1" x14ac:dyDescent="0.3">
      <c r="A256" s="21"/>
      <c r="B256" s="22"/>
      <c r="C256" s="23"/>
      <c r="D256" s="21"/>
      <c r="E256" s="23"/>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row>
    <row r="257" spans="1:33" ht="13.5" customHeight="1" x14ac:dyDescent="0.3">
      <c r="A257" s="21"/>
      <c r="B257" s="22"/>
      <c r="C257" s="23"/>
      <c r="D257" s="21"/>
      <c r="E257" s="23"/>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row>
    <row r="258" spans="1:33" ht="13.5" customHeight="1" x14ac:dyDescent="0.3">
      <c r="A258" s="21"/>
      <c r="B258" s="22"/>
      <c r="C258" s="23"/>
      <c r="D258" s="21"/>
      <c r="E258" s="23"/>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row>
    <row r="259" spans="1:33" ht="13.5" customHeight="1" x14ac:dyDescent="0.3">
      <c r="A259" s="21"/>
      <c r="B259" s="22"/>
      <c r="C259" s="23"/>
      <c r="D259" s="21"/>
      <c r="E259" s="23"/>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row>
    <row r="260" spans="1:33" ht="13.5" customHeight="1" x14ac:dyDescent="0.3">
      <c r="A260" s="21"/>
      <c r="B260" s="22"/>
      <c r="C260" s="23"/>
      <c r="D260" s="21"/>
      <c r="E260" s="23"/>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row>
    <row r="261" spans="1:33" ht="13.5" customHeight="1" x14ac:dyDescent="0.3">
      <c r="A261" s="21"/>
      <c r="B261" s="22"/>
      <c r="C261" s="23"/>
      <c r="D261" s="21"/>
      <c r="E261" s="23"/>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row>
    <row r="262" spans="1:33" ht="13.5" customHeight="1" x14ac:dyDescent="0.3">
      <c r="A262" s="21"/>
      <c r="B262" s="22"/>
      <c r="C262" s="23"/>
      <c r="D262" s="21"/>
      <c r="E262" s="23"/>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row>
    <row r="263" spans="1:33" ht="13.5" customHeight="1" x14ac:dyDescent="0.3">
      <c r="A263" s="21"/>
      <c r="B263" s="22"/>
      <c r="C263" s="23"/>
      <c r="D263" s="21"/>
      <c r="E263" s="23"/>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row>
    <row r="264" spans="1:33" ht="13.5" customHeight="1" x14ac:dyDescent="0.3">
      <c r="A264" s="21"/>
      <c r="B264" s="22"/>
      <c r="C264" s="23"/>
      <c r="D264" s="21"/>
      <c r="E264" s="23"/>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row>
    <row r="265" spans="1:33" ht="13.5" customHeight="1" x14ac:dyDescent="0.3">
      <c r="A265" s="21"/>
      <c r="B265" s="22"/>
      <c r="C265" s="23"/>
      <c r="D265" s="21"/>
      <c r="E265" s="23"/>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row>
    <row r="266" spans="1:33" ht="13.5" customHeight="1" x14ac:dyDescent="0.3">
      <c r="A266" s="21"/>
      <c r="B266" s="22"/>
      <c r="C266" s="23"/>
      <c r="D266" s="21"/>
      <c r="E266" s="23"/>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row>
    <row r="267" spans="1:33" ht="13.5" customHeight="1" x14ac:dyDescent="0.3">
      <c r="A267" s="21"/>
      <c r="B267" s="22"/>
      <c r="C267" s="23"/>
      <c r="D267" s="21"/>
      <c r="E267" s="23"/>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row>
    <row r="268" spans="1:33" ht="13.5" customHeight="1" x14ac:dyDescent="0.3">
      <c r="A268" s="21"/>
      <c r="B268" s="22"/>
      <c r="C268" s="23"/>
      <c r="D268" s="21"/>
      <c r="E268" s="23"/>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row>
    <row r="269" spans="1:33" ht="13.5" customHeight="1" x14ac:dyDescent="0.3">
      <c r="A269" s="21"/>
      <c r="B269" s="22"/>
      <c r="C269" s="23"/>
      <c r="D269" s="21"/>
      <c r="E269" s="23"/>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row>
    <row r="270" spans="1:33" ht="13.5" customHeight="1" x14ac:dyDescent="0.3">
      <c r="A270" s="21"/>
      <c r="B270" s="22"/>
      <c r="C270" s="23"/>
      <c r="D270" s="21"/>
      <c r="E270" s="23"/>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row>
    <row r="271" spans="1:33" ht="13.5" customHeight="1" x14ac:dyDescent="0.3">
      <c r="A271" s="21"/>
      <c r="B271" s="22"/>
      <c r="C271" s="23"/>
      <c r="D271" s="21"/>
      <c r="E271" s="23"/>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row>
    <row r="272" spans="1:33" ht="13.5" customHeight="1" x14ac:dyDescent="0.3">
      <c r="A272" s="21"/>
      <c r="B272" s="22"/>
      <c r="C272" s="23"/>
      <c r="D272" s="21"/>
      <c r="E272" s="23"/>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row>
    <row r="273" spans="1:33" ht="13.5" customHeight="1" x14ac:dyDescent="0.3">
      <c r="A273" s="21"/>
      <c r="B273" s="22"/>
      <c r="C273" s="23"/>
      <c r="D273" s="21"/>
      <c r="E273" s="23"/>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row>
    <row r="274" spans="1:33" ht="13.5" customHeight="1" x14ac:dyDescent="0.3">
      <c r="A274" s="21"/>
      <c r="B274" s="22"/>
      <c r="C274" s="23"/>
      <c r="D274" s="21"/>
      <c r="E274" s="23"/>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row>
    <row r="275" spans="1:33" ht="13.5" customHeight="1" x14ac:dyDescent="0.3">
      <c r="A275" s="21"/>
      <c r="B275" s="22"/>
      <c r="C275" s="23"/>
      <c r="D275" s="21"/>
      <c r="E275" s="23"/>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row>
    <row r="276" spans="1:33" ht="13.5" customHeight="1" x14ac:dyDescent="0.3">
      <c r="A276" s="21"/>
      <c r="B276" s="22"/>
      <c r="C276" s="23"/>
      <c r="D276" s="21"/>
      <c r="E276" s="23"/>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row>
    <row r="277" spans="1:33" ht="13.5" customHeight="1" x14ac:dyDescent="0.3">
      <c r="A277" s="21"/>
      <c r="B277" s="22"/>
      <c r="C277" s="23"/>
      <c r="D277" s="21"/>
      <c r="E277" s="23"/>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row>
    <row r="278" spans="1:33" ht="13.5" customHeight="1" x14ac:dyDescent="0.3">
      <c r="A278" s="21"/>
      <c r="B278" s="22"/>
      <c r="C278" s="23"/>
      <c r="D278" s="21"/>
      <c r="E278" s="23"/>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row>
    <row r="279" spans="1:33" ht="13.5" customHeight="1" x14ac:dyDescent="0.3">
      <c r="A279" s="21"/>
      <c r="B279" s="22"/>
      <c r="C279" s="23"/>
      <c r="D279" s="21"/>
      <c r="E279" s="23"/>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row>
    <row r="280" spans="1:33" ht="13.5" customHeight="1" x14ac:dyDescent="0.3">
      <c r="A280" s="21"/>
      <c r="B280" s="22"/>
      <c r="C280" s="23"/>
      <c r="D280" s="21"/>
      <c r="E280" s="23"/>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row>
    <row r="281" spans="1:33" ht="13.5" customHeight="1" x14ac:dyDescent="0.3">
      <c r="A281" s="21"/>
      <c r="B281" s="22"/>
      <c r="C281" s="23"/>
      <c r="D281" s="21"/>
      <c r="E281" s="23"/>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row>
    <row r="282" spans="1:33" ht="13.5" customHeight="1" x14ac:dyDescent="0.3">
      <c r="A282" s="21"/>
      <c r="B282" s="22"/>
      <c r="C282" s="23"/>
      <c r="D282" s="21"/>
      <c r="E282" s="23"/>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row>
    <row r="283" spans="1:33" ht="13.5" customHeight="1" x14ac:dyDescent="0.3">
      <c r="A283" s="21"/>
      <c r="B283" s="22"/>
      <c r="C283" s="23"/>
      <c r="D283" s="21"/>
      <c r="E283" s="23"/>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row>
    <row r="284" spans="1:33" ht="13.5" customHeight="1" x14ac:dyDescent="0.3">
      <c r="A284" s="21"/>
      <c r="B284" s="22"/>
      <c r="C284" s="23"/>
      <c r="D284" s="21"/>
      <c r="E284" s="23"/>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row>
    <row r="285" spans="1:33" ht="13.5" customHeight="1" x14ac:dyDescent="0.3">
      <c r="A285" s="21"/>
      <c r="B285" s="22"/>
      <c r="C285" s="23"/>
      <c r="D285" s="21"/>
      <c r="E285" s="23"/>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row>
    <row r="286" spans="1:33" ht="13.5" customHeight="1" x14ac:dyDescent="0.3">
      <c r="A286" s="21"/>
      <c r="B286" s="22"/>
      <c r="C286" s="23"/>
      <c r="D286" s="21"/>
      <c r="E286" s="23"/>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row>
    <row r="287" spans="1:33" ht="13.5" customHeight="1" x14ac:dyDescent="0.3">
      <c r="A287" s="21"/>
      <c r="B287" s="22"/>
      <c r="C287" s="23"/>
      <c r="D287" s="21"/>
      <c r="E287" s="23"/>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row>
    <row r="288" spans="1:33" ht="13.5" customHeight="1" x14ac:dyDescent="0.3">
      <c r="A288" s="21"/>
      <c r="B288" s="22"/>
      <c r="C288" s="23"/>
      <c r="D288" s="21"/>
      <c r="E288" s="23"/>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row>
    <row r="289" spans="1:33" ht="13.5" customHeight="1" x14ac:dyDescent="0.3">
      <c r="A289" s="21"/>
      <c r="B289" s="22"/>
      <c r="C289" s="23"/>
      <c r="D289" s="21"/>
      <c r="E289" s="23"/>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row>
    <row r="290" spans="1:33" ht="13.5" customHeight="1" x14ac:dyDescent="0.3">
      <c r="A290" s="21"/>
      <c r="B290" s="22"/>
      <c r="C290" s="23"/>
      <c r="D290" s="21"/>
      <c r="E290" s="23"/>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row>
    <row r="291" spans="1:33" ht="13.5" customHeight="1" x14ac:dyDescent="0.3">
      <c r="A291" s="21"/>
      <c r="B291" s="22"/>
      <c r="C291" s="23"/>
      <c r="D291" s="21"/>
      <c r="E291" s="23"/>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row>
    <row r="292" spans="1:33" ht="13.5" customHeight="1" x14ac:dyDescent="0.3">
      <c r="A292" s="21"/>
      <c r="B292" s="22"/>
      <c r="C292" s="23"/>
      <c r="D292" s="21"/>
      <c r="E292" s="23"/>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row>
    <row r="293" spans="1:33" ht="13.5" customHeight="1" x14ac:dyDescent="0.3">
      <c r="A293" s="21"/>
      <c r="B293" s="22"/>
      <c r="C293" s="23"/>
      <c r="D293" s="21"/>
      <c r="E293" s="23"/>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row>
    <row r="294" spans="1:33" ht="13.5" customHeight="1" x14ac:dyDescent="0.3">
      <c r="A294" s="21"/>
      <c r="B294" s="22"/>
      <c r="C294" s="23"/>
      <c r="D294" s="21"/>
      <c r="E294" s="23"/>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row>
    <row r="295" spans="1:33" ht="13.5" customHeight="1" x14ac:dyDescent="0.3">
      <c r="A295" s="21"/>
      <c r="B295" s="22"/>
      <c r="C295" s="23"/>
      <c r="D295" s="21"/>
      <c r="E295" s="23"/>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row>
    <row r="296" spans="1:33" ht="13.5" customHeight="1" x14ac:dyDescent="0.3">
      <c r="A296" s="21"/>
      <c r="B296" s="22"/>
      <c r="C296" s="23"/>
      <c r="D296" s="21"/>
      <c r="E296" s="23"/>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row>
    <row r="297" spans="1:33" ht="13.5" customHeight="1" x14ac:dyDescent="0.3">
      <c r="A297" s="21"/>
      <c r="B297" s="22"/>
      <c r="C297" s="23"/>
      <c r="D297" s="21"/>
      <c r="E297" s="23"/>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row>
    <row r="298" spans="1:33" ht="13.5" customHeight="1" x14ac:dyDescent="0.3">
      <c r="A298" s="21"/>
      <c r="B298" s="22"/>
      <c r="C298" s="23"/>
      <c r="D298" s="21"/>
      <c r="E298" s="23"/>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row>
    <row r="299" spans="1:33" ht="13.5" customHeight="1" x14ac:dyDescent="0.3">
      <c r="A299" s="21"/>
      <c r="B299" s="22"/>
      <c r="C299" s="23"/>
      <c r="D299" s="21"/>
      <c r="E299" s="23"/>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row>
    <row r="300" spans="1:33" ht="13.5" customHeight="1" x14ac:dyDescent="0.3">
      <c r="A300" s="21"/>
      <c r="B300" s="22"/>
      <c r="C300" s="23"/>
      <c r="D300" s="21"/>
      <c r="E300" s="23"/>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row>
    <row r="301" spans="1:33" ht="13.5" customHeight="1" x14ac:dyDescent="0.3">
      <c r="A301" s="21"/>
      <c r="B301" s="22"/>
      <c r="C301" s="23"/>
      <c r="D301" s="21"/>
      <c r="E301" s="23"/>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row>
    <row r="302" spans="1:33" ht="13.5" customHeight="1" x14ac:dyDescent="0.3">
      <c r="A302" s="21"/>
      <c r="B302" s="22"/>
      <c r="C302" s="23"/>
      <c r="D302" s="21"/>
      <c r="E302" s="23"/>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row>
    <row r="303" spans="1:33" ht="13.5" customHeight="1" x14ac:dyDescent="0.3">
      <c r="A303" s="21"/>
      <c r="B303" s="22"/>
      <c r="C303" s="23"/>
      <c r="D303" s="21"/>
      <c r="E303" s="23"/>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row>
    <row r="304" spans="1:33" ht="13.5" customHeight="1" x14ac:dyDescent="0.3">
      <c r="A304" s="21"/>
      <c r="B304" s="22"/>
      <c r="C304" s="23"/>
      <c r="D304" s="21"/>
      <c r="E304" s="23"/>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row>
    <row r="305" spans="1:33" ht="13.5" customHeight="1" x14ac:dyDescent="0.3">
      <c r="A305" s="21"/>
      <c r="B305" s="22"/>
      <c r="C305" s="23"/>
      <c r="D305" s="21"/>
      <c r="E305" s="23"/>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row>
    <row r="306" spans="1:33" ht="13.5" customHeight="1" x14ac:dyDescent="0.3">
      <c r="A306" s="21"/>
      <c r="B306" s="22"/>
      <c r="C306" s="23"/>
      <c r="D306" s="21"/>
      <c r="E306" s="23"/>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row>
    <row r="307" spans="1:33" ht="13.5" customHeight="1" x14ac:dyDescent="0.3">
      <c r="A307" s="21"/>
      <c r="B307" s="22"/>
      <c r="C307" s="23"/>
      <c r="D307" s="21"/>
      <c r="E307" s="23"/>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row>
    <row r="308" spans="1:33" ht="13.5" customHeight="1" x14ac:dyDescent="0.3">
      <c r="A308" s="21"/>
      <c r="B308" s="22"/>
      <c r="C308" s="23"/>
      <c r="D308" s="21"/>
      <c r="E308" s="23"/>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row>
    <row r="309" spans="1:33" ht="13.5" customHeight="1" x14ac:dyDescent="0.3">
      <c r="A309" s="21"/>
      <c r="B309" s="22"/>
      <c r="C309" s="23"/>
      <c r="D309" s="21"/>
      <c r="E309" s="23"/>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row>
    <row r="310" spans="1:33" ht="13.5" customHeight="1" x14ac:dyDescent="0.3">
      <c r="A310" s="21"/>
      <c r="B310" s="22"/>
      <c r="C310" s="23"/>
      <c r="D310" s="21"/>
      <c r="E310" s="23"/>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row>
    <row r="311" spans="1:33" ht="13.5" customHeight="1" x14ac:dyDescent="0.3">
      <c r="A311" s="21"/>
      <c r="B311" s="22"/>
      <c r="C311" s="23"/>
      <c r="D311" s="21"/>
      <c r="E311" s="23"/>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row>
    <row r="312" spans="1:33" ht="13.5" customHeight="1" x14ac:dyDescent="0.3">
      <c r="A312" s="21"/>
      <c r="B312" s="22"/>
      <c r="C312" s="23"/>
      <c r="D312" s="21"/>
      <c r="E312" s="23"/>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row>
    <row r="313" spans="1:33" ht="13.5" customHeight="1" x14ac:dyDescent="0.3">
      <c r="A313" s="21"/>
      <c r="B313" s="22"/>
      <c r="C313" s="23"/>
      <c r="D313" s="21"/>
      <c r="E313" s="23"/>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row>
    <row r="314" spans="1:33" ht="13.5" customHeight="1" x14ac:dyDescent="0.3">
      <c r="A314" s="21"/>
      <c r="B314" s="22"/>
      <c r="C314" s="23"/>
      <c r="D314" s="21"/>
      <c r="E314" s="23"/>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row>
    <row r="315" spans="1:33" ht="13.5" customHeight="1" x14ac:dyDescent="0.3">
      <c r="A315" s="21"/>
      <c r="B315" s="22"/>
      <c r="C315" s="23"/>
      <c r="D315" s="21"/>
      <c r="E315" s="23"/>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row>
    <row r="316" spans="1:33" ht="13.5" customHeight="1" x14ac:dyDescent="0.3">
      <c r="A316" s="21"/>
      <c r="B316" s="22"/>
      <c r="C316" s="23"/>
      <c r="D316" s="21"/>
      <c r="E316" s="23"/>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row>
    <row r="317" spans="1:33" ht="13.5" customHeight="1" x14ac:dyDescent="0.3">
      <c r="A317" s="21"/>
      <c r="B317" s="22"/>
      <c r="C317" s="23"/>
      <c r="D317" s="21"/>
      <c r="E317" s="23"/>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row>
    <row r="318" spans="1:33" ht="13.5" customHeight="1" x14ac:dyDescent="0.3">
      <c r="A318" s="21"/>
      <c r="B318" s="22"/>
      <c r="C318" s="23"/>
      <c r="D318" s="21"/>
      <c r="E318" s="23"/>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row>
    <row r="319" spans="1:33" ht="13.5" customHeight="1" x14ac:dyDescent="0.3">
      <c r="A319" s="21"/>
      <c r="B319" s="22"/>
      <c r="C319" s="23"/>
      <c r="D319" s="21"/>
      <c r="E319" s="23"/>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row>
    <row r="320" spans="1:33" ht="13.5" customHeight="1" x14ac:dyDescent="0.3">
      <c r="A320" s="21"/>
      <c r="B320" s="22"/>
      <c r="C320" s="23"/>
      <c r="D320" s="21"/>
      <c r="E320" s="23"/>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row>
    <row r="321" spans="1:33" ht="13.5" customHeight="1" x14ac:dyDescent="0.3">
      <c r="A321" s="21"/>
      <c r="B321" s="22"/>
      <c r="C321" s="23"/>
      <c r="D321" s="21"/>
      <c r="E321" s="23"/>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row>
    <row r="322" spans="1:33" ht="13.5" customHeight="1" x14ac:dyDescent="0.3">
      <c r="A322" s="21"/>
      <c r="B322" s="22"/>
      <c r="C322" s="23"/>
      <c r="D322" s="21"/>
      <c r="E322" s="23"/>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row>
    <row r="323" spans="1:33" ht="13.5" customHeight="1" x14ac:dyDescent="0.3">
      <c r="A323" s="21"/>
      <c r="B323" s="22"/>
      <c r="C323" s="23"/>
      <c r="D323" s="21"/>
      <c r="E323" s="23"/>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row>
    <row r="324" spans="1:33" ht="13.5" customHeight="1" x14ac:dyDescent="0.3">
      <c r="A324" s="21"/>
      <c r="B324" s="22"/>
      <c r="C324" s="23"/>
      <c r="D324" s="21"/>
      <c r="E324" s="23"/>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row>
    <row r="325" spans="1:33" ht="13.5" customHeight="1" x14ac:dyDescent="0.3">
      <c r="A325" s="21"/>
      <c r="B325" s="22"/>
      <c r="C325" s="23"/>
      <c r="D325" s="21"/>
      <c r="E325" s="23"/>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row>
    <row r="326" spans="1:33" ht="13.5" customHeight="1" x14ac:dyDescent="0.3">
      <c r="A326" s="21"/>
      <c r="B326" s="22"/>
      <c r="C326" s="23"/>
      <c r="D326" s="21"/>
      <c r="E326" s="23"/>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row>
    <row r="327" spans="1:33" ht="13.5" customHeight="1" x14ac:dyDescent="0.3">
      <c r="A327" s="21"/>
      <c r="B327" s="22"/>
      <c r="C327" s="23"/>
      <c r="D327" s="21"/>
      <c r="E327" s="23"/>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row>
    <row r="328" spans="1:33" ht="13.5" customHeight="1" x14ac:dyDescent="0.3">
      <c r="A328" s="21"/>
      <c r="B328" s="22"/>
      <c r="C328" s="23"/>
      <c r="D328" s="21"/>
      <c r="E328" s="23"/>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row>
    <row r="329" spans="1:33" ht="13.5" customHeight="1" x14ac:dyDescent="0.3">
      <c r="A329" s="21"/>
      <c r="B329" s="22"/>
      <c r="C329" s="23"/>
      <c r="D329" s="21"/>
      <c r="E329" s="23"/>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row>
    <row r="330" spans="1:33" ht="13.5" customHeight="1" x14ac:dyDescent="0.3">
      <c r="A330" s="21"/>
      <c r="B330" s="22"/>
      <c r="C330" s="23"/>
      <c r="D330" s="21"/>
      <c r="E330" s="23"/>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row>
    <row r="331" spans="1:33" ht="13.5" customHeight="1" x14ac:dyDescent="0.3">
      <c r="A331" s="21"/>
      <c r="B331" s="22"/>
      <c r="C331" s="23"/>
      <c r="D331" s="21"/>
      <c r="E331" s="23"/>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row>
    <row r="332" spans="1:33" ht="13.5" customHeight="1" x14ac:dyDescent="0.3">
      <c r="A332" s="21"/>
      <c r="B332" s="22"/>
      <c r="C332" s="23"/>
      <c r="D332" s="21"/>
      <c r="E332" s="23"/>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row>
    <row r="333" spans="1:33" ht="13.5" customHeight="1" x14ac:dyDescent="0.3">
      <c r="A333" s="21"/>
      <c r="B333" s="22"/>
      <c r="C333" s="23"/>
      <c r="D333" s="21"/>
      <c r="E333" s="23"/>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row>
    <row r="334" spans="1:33" ht="13.5" customHeight="1" x14ac:dyDescent="0.3">
      <c r="A334" s="21"/>
      <c r="B334" s="22"/>
      <c r="C334" s="23"/>
      <c r="D334" s="21"/>
      <c r="E334" s="23"/>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row>
    <row r="335" spans="1:33" ht="13.5" customHeight="1" x14ac:dyDescent="0.3">
      <c r="A335" s="21"/>
      <c r="B335" s="22"/>
      <c r="C335" s="23"/>
      <c r="D335" s="21"/>
      <c r="E335" s="23"/>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row>
    <row r="336" spans="1:33" ht="13.5" customHeight="1" x14ac:dyDescent="0.3">
      <c r="A336" s="21"/>
      <c r="B336" s="22"/>
      <c r="C336" s="23"/>
      <c r="D336" s="21"/>
      <c r="E336" s="23"/>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row>
    <row r="337" spans="1:33" ht="13.5" customHeight="1" x14ac:dyDescent="0.3">
      <c r="A337" s="21"/>
      <c r="B337" s="22"/>
      <c r="C337" s="23"/>
      <c r="D337" s="21"/>
      <c r="E337" s="23"/>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row>
    <row r="338" spans="1:33" ht="13.5" customHeight="1" x14ac:dyDescent="0.3">
      <c r="A338" s="21"/>
      <c r="B338" s="22"/>
      <c r="C338" s="23"/>
      <c r="D338" s="21"/>
      <c r="E338" s="23"/>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row>
    <row r="339" spans="1:33" ht="13.5" customHeight="1" x14ac:dyDescent="0.3">
      <c r="A339" s="21"/>
      <c r="B339" s="22"/>
      <c r="C339" s="23"/>
      <c r="D339" s="21"/>
      <c r="E339" s="23"/>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row>
    <row r="340" spans="1:33" ht="13.5" customHeight="1" x14ac:dyDescent="0.3">
      <c r="A340" s="21"/>
      <c r="B340" s="22"/>
      <c r="C340" s="23"/>
      <c r="D340" s="21"/>
      <c r="E340" s="23"/>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row>
    <row r="341" spans="1:33" ht="13.5" customHeight="1" x14ac:dyDescent="0.3">
      <c r="A341" s="21"/>
      <c r="B341" s="22"/>
      <c r="C341" s="23"/>
      <c r="D341" s="21"/>
      <c r="E341" s="23"/>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row>
    <row r="342" spans="1:33" ht="13.5" customHeight="1" x14ac:dyDescent="0.3">
      <c r="A342" s="21"/>
      <c r="B342" s="22"/>
      <c r="C342" s="23"/>
      <c r="D342" s="21"/>
      <c r="E342" s="23"/>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row>
    <row r="343" spans="1:33" ht="13.5" customHeight="1" x14ac:dyDescent="0.3">
      <c r="A343" s="21"/>
      <c r="B343" s="22"/>
      <c r="C343" s="23"/>
      <c r="D343" s="21"/>
      <c r="E343" s="23"/>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row>
    <row r="344" spans="1:33" ht="13.5" customHeight="1" x14ac:dyDescent="0.3">
      <c r="A344" s="21"/>
      <c r="B344" s="22"/>
      <c r="C344" s="23"/>
      <c r="D344" s="21"/>
      <c r="E344" s="23"/>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row>
    <row r="345" spans="1:33" ht="13.5" customHeight="1" x14ac:dyDescent="0.3">
      <c r="A345" s="21"/>
      <c r="B345" s="22"/>
      <c r="C345" s="23"/>
      <c r="D345" s="21"/>
      <c r="E345" s="23"/>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row>
    <row r="346" spans="1:33" ht="13.5" customHeight="1" x14ac:dyDescent="0.3">
      <c r="A346" s="21"/>
      <c r="B346" s="22"/>
      <c r="C346" s="23"/>
      <c r="D346" s="21"/>
      <c r="E346" s="23"/>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row>
    <row r="347" spans="1:33" ht="13.5" customHeight="1" x14ac:dyDescent="0.3">
      <c r="A347" s="21"/>
      <c r="B347" s="22"/>
      <c r="C347" s="23"/>
      <c r="D347" s="21"/>
      <c r="E347" s="23"/>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row>
    <row r="348" spans="1:33" ht="13.5" customHeight="1" x14ac:dyDescent="0.3">
      <c r="A348" s="21"/>
      <c r="B348" s="22"/>
      <c r="C348" s="23"/>
      <c r="D348" s="21"/>
      <c r="E348" s="23"/>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row>
    <row r="349" spans="1:33" ht="13.5" customHeight="1" x14ac:dyDescent="0.3">
      <c r="A349" s="21"/>
      <c r="B349" s="22"/>
      <c r="C349" s="23"/>
      <c r="D349" s="21"/>
      <c r="E349" s="23"/>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row>
    <row r="350" spans="1:33" ht="13.5" customHeight="1" x14ac:dyDescent="0.3">
      <c r="A350" s="21"/>
      <c r="B350" s="22"/>
      <c r="C350" s="23"/>
      <c r="D350" s="21"/>
      <c r="E350" s="23"/>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row>
    <row r="351" spans="1:33" ht="13.5" customHeight="1" x14ac:dyDescent="0.3">
      <c r="A351" s="21"/>
      <c r="B351" s="22"/>
      <c r="C351" s="23"/>
      <c r="D351" s="21"/>
      <c r="E351" s="23"/>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row>
    <row r="352" spans="1:33" ht="13.5" customHeight="1" x14ac:dyDescent="0.3">
      <c r="A352" s="21"/>
      <c r="B352" s="22"/>
      <c r="C352" s="23"/>
      <c r="D352" s="21"/>
      <c r="E352" s="23"/>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row>
    <row r="353" spans="1:33" ht="13.5" customHeight="1" x14ac:dyDescent="0.3">
      <c r="A353" s="21"/>
      <c r="B353" s="22"/>
      <c r="C353" s="23"/>
      <c r="D353" s="21"/>
      <c r="E353" s="23"/>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row>
    <row r="354" spans="1:33" ht="13.5" customHeight="1" x14ac:dyDescent="0.3">
      <c r="A354" s="21"/>
      <c r="B354" s="22"/>
      <c r="C354" s="23"/>
      <c r="D354" s="21"/>
      <c r="E354" s="23"/>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row>
    <row r="355" spans="1:33" ht="13.5" customHeight="1" x14ac:dyDescent="0.3">
      <c r="A355" s="21"/>
      <c r="B355" s="22"/>
      <c r="C355" s="23"/>
      <c r="D355" s="21"/>
      <c r="E355" s="23"/>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row>
    <row r="356" spans="1:33" ht="13.5" customHeight="1" x14ac:dyDescent="0.3">
      <c r="A356" s="21"/>
      <c r="B356" s="22"/>
      <c r="C356" s="23"/>
      <c r="D356" s="21"/>
      <c r="E356" s="23"/>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row>
    <row r="357" spans="1:33" ht="13.5" customHeight="1" x14ac:dyDescent="0.3">
      <c r="A357" s="21"/>
      <c r="B357" s="22"/>
      <c r="C357" s="23"/>
      <c r="D357" s="21"/>
      <c r="E357" s="23"/>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row>
    <row r="358" spans="1:33" ht="13.5" customHeight="1" x14ac:dyDescent="0.3">
      <c r="A358" s="21"/>
      <c r="B358" s="22"/>
      <c r="C358" s="23"/>
      <c r="D358" s="21"/>
      <c r="E358" s="23"/>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row>
    <row r="359" spans="1:33" ht="13.5" customHeight="1" x14ac:dyDescent="0.3">
      <c r="A359" s="21"/>
      <c r="B359" s="22"/>
      <c r="C359" s="23"/>
      <c r="D359" s="21"/>
      <c r="E359" s="23"/>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row>
    <row r="360" spans="1:33" ht="13.5" customHeight="1" x14ac:dyDescent="0.3">
      <c r="A360" s="21"/>
      <c r="B360" s="22"/>
      <c r="C360" s="23"/>
      <c r="D360" s="21"/>
      <c r="E360" s="23"/>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row>
    <row r="361" spans="1:33" ht="13.5" customHeight="1" x14ac:dyDescent="0.3">
      <c r="A361" s="21"/>
      <c r="B361" s="22"/>
      <c r="C361" s="23"/>
      <c r="D361" s="21"/>
      <c r="E361" s="23"/>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row>
    <row r="362" spans="1:33" ht="13.5" customHeight="1" x14ac:dyDescent="0.3">
      <c r="A362" s="21"/>
      <c r="B362" s="22"/>
      <c r="C362" s="23"/>
      <c r="D362" s="21"/>
      <c r="E362" s="23"/>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row>
    <row r="363" spans="1:33" ht="13.5" customHeight="1" x14ac:dyDescent="0.3">
      <c r="A363" s="21"/>
      <c r="B363" s="22"/>
      <c r="C363" s="23"/>
      <c r="D363" s="21"/>
      <c r="E363" s="23"/>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row>
    <row r="364" spans="1:33" ht="13.5" customHeight="1" x14ac:dyDescent="0.3">
      <c r="A364" s="21"/>
      <c r="B364" s="22"/>
      <c r="C364" s="23"/>
      <c r="D364" s="21"/>
      <c r="E364" s="23"/>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row>
    <row r="365" spans="1:33" ht="13.5" customHeight="1" x14ac:dyDescent="0.3">
      <c r="A365" s="21"/>
      <c r="B365" s="22"/>
      <c r="C365" s="23"/>
      <c r="D365" s="21"/>
      <c r="E365" s="23"/>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row>
    <row r="366" spans="1:33" ht="13.5" customHeight="1" x14ac:dyDescent="0.3">
      <c r="A366" s="21"/>
      <c r="B366" s="22"/>
      <c r="C366" s="23"/>
      <c r="D366" s="21"/>
      <c r="E366" s="23"/>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row>
    <row r="367" spans="1:33" ht="13.5" customHeight="1" x14ac:dyDescent="0.3">
      <c r="A367" s="21"/>
      <c r="B367" s="22"/>
      <c r="C367" s="23"/>
      <c r="D367" s="21"/>
      <c r="E367" s="23"/>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row>
    <row r="368" spans="1:33" ht="13.5" customHeight="1" x14ac:dyDescent="0.3">
      <c r="A368" s="21"/>
      <c r="B368" s="22"/>
      <c r="C368" s="23"/>
      <c r="D368" s="21"/>
      <c r="E368" s="23"/>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row>
    <row r="369" spans="1:33" ht="13.5" customHeight="1" x14ac:dyDescent="0.3">
      <c r="A369" s="21"/>
      <c r="B369" s="22"/>
      <c r="C369" s="23"/>
      <c r="D369" s="21"/>
      <c r="E369" s="23"/>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row>
    <row r="370" spans="1:33" ht="13.5" customHeight="1" x14ac:dyDescent="0.3">
      <c r="A370" s="21"/>
      <c r="B370" s="22"/>
      <c r="C370" s="23"/>
      <c r="D370" s="21"/>
      <c r="E370" s="23"/>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row>
    <row r="371" spans="1:33" ht="13.5" customHeight="1" x14ac:dyDescent="0.3">
      <c r="A371" s="21"/>
      <c r="B371" s="22"/>
      <c r="C371" s="23"/>
      <c r="D371" s="21"/>
      <c r="E371" s="23"/>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row>
    <row r="372" spans="1:33" ht="13.5" customHeight="1" x14ac:dyDescent="0.3">
      <c r="A372" s="21"/>
      <c r="B372" s="22"/>
      <c r="C372" s="23"/>
      <c r="D372" s="21"/>
      <c r="E372" s="23"/>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row>
    <row r="373" spans="1:33" ht="13.5" customHeight="1" x14ac:dyDescent="0.3">
      <c r="A373" s="21"/>
      <c r="B373" s="22"/>
      <c r="C373" s="23"/>
      <c r="D373" s="21"/>
      <c r="E373" s="23"/>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row>
    <row r="374" spans="1:33" ht="13.5" customHeight="1" x14ac:dyDescent="0.3">
      <c r="A374" s="21"/>
      <c r="B374" s="22"/>
      <c r="C374" s="23"/>
      <c r="D374" s="21"/>
      <c r="E374" s="23"/>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row>
    <row r="375" spans="1:33" ht="13.5" customHeight="1" x14ac:dyDescent="0.3">
      <c r="A375" s="21"/>
      <c r="B375" s="22"/>
      <c r="C375" s="23"/>
      <c r="D375" s="21"/>
      <c r="E375" s="23"/>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row>
    <row r="376" spans="1:33" ht="13.5" customHeight="1" x14ac:dyDescent="0.3">
      <c r="A376" s="21"/>
      <c r="B376" s="22"/>
      <c r="C376" s="23"/>
      <c r="D376" s="21"/>
      <c r="E376" s="23"/>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row>
    <row r="377" spans="1:33" ht="13.5" customHeight="1" x14ac:dyDescent="0.3">
      <c r="A377" s="21"/>
      <c r="B377" s="22"/>
      <c r="C377" s="23"/>
      <c r="D377" s="21"/>
      <c r="E377" s="23"/>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row>
    <row r="378" spans="1:33" ht="13.5" customHeight="1" x14ac:dyDescent="0.3">
      <c r="A378" s="21"/>
      <c r="B378" s="22"/>
      <c r="C378" s="23"/>
      <c r="D378" s="21"/>
      <c r="E378" s="23"/>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row>
    <row r="379" spans="1:33" ht="13.5" customHeight="1" x14ac:dyDescent="0.3">
      <c r="A379" s="21"/>
      <c r="B379" s="22"/>
      <c r="C379" s="23"/>
      <c r="D379" s="21"/>
      <c r="E379" s="23"/>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row>
    <row r="380" spans="1:33" ht="13.5" customHeight="1" x14ac:dyDescent="0.3">
      <c r="A380" s="21"/>
      <c r="B380" s="22"/>
      <c r="C380" s="23"/>
      <c r="D380" s="21"/>
      <c r="E380" s="23"/>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row>
    <row r="381" spans="1:33" ht="13.5" customHeight="1" x14ac:dyDescent="0.3">
      <c r="A381" s="21"/>
      <c r="B381" s="22"/>
      <c r="C381" s="23"/>
      <c r="D381" s="21"/>
      <c r="E381" s="23"/>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row>
    <row r="382" spans="1:33" ht="13.5" customHeight="1" x14ac:dyDescent="0.3">
      <c r="A382" s="21"/>
      <c r="B382" s="22"/>
      <c r="C382" s="23"/>
      <c r="D382" s="21"/>
      <c r="E382" s="23"/>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row>
    <row r="383" spans="1:33" ht="13.5" customHeight="1" x14ac:dyDescent="0.3">
      <c r="A383" s="21"/>
      <c r="B383" s="22"/>
      <c r="C383" s="23"/>
      <c r="D383" s="21"/>
      <c r="E383" s="23"/>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row>
    <row r="384" spans="1:33" ht="13.5" customHeight="1" x14ac:dyDescent="0.3">
      <c r="A384" s="21"/>
      <c r="B384" s="22"/>
      <c r="C384" s="23"/>
      <c r="D384" s="21"/>
      <c r="E384" s="23"/>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row>
    <row r="385" spans="1:33" ht="13.5" customHeight="1" x14ac:dyDescent="0.3">
      <c r="A385" s="21"/>
      <c r="B385" s="22"/>
      <c r="C385" s="23"/>
      <c r="D385" s="21"/>
      <c r="E385" s="23"/>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row>
    <row r="386" spans="1:33" ht="13.5" customHeight="1" x14ac:dyDescent="0.3">
      <c r="A386" s="21"/>
      <c r="B386" s="22"/>
      <c r="C386" s="23"/>
      <c r="D386" s="21"/>
      <c r="E386" s="23"/>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row>
    <row r="387" spans="1:33" ht="13.5" customHeight="1" x14ac:dyDescent="0.3">
      <c r="A387" s="21"/>
      <c r="B387" s="22"/>
      <c r="C387" s="23"/>
      <c r="D387" s="21"/>
      <c r="E387" s="23"/>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row>
    <row r="388" spans="1:33" ht="13.5" customHeight="1" x14ac:dyDescent="0.3">
      <c r="A388" s="21"/>
      <c r="B388" s="22"/>
      <c r="C388" s="23"/>
      <c r="D388" s="21"/>
      <c r="E388" s="23"/>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row>
    <row r="389" spans="1:33" ht="13.5" customHeight="1" x14ac:dyDescent="0.3">
      <c r="A389" s="21"/>
      <c r="B389" s="22"/>
      <c r="C389" s="23"/>
      <c r="D389" s="21"/>
      <c r="E389" s="23"/>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row>
    <row r="390" spans="1:33" ht="13.5" customHeight="1" x14ac:dyDescent="0.3">
      <c r="A390" s="21"/>
      <c r="B390" s="22"/>
      <c r="C390" s="23"/>
      <c r="D390" s="21"/>
      <c r="E390" s="23"/>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row>
    <row r="391" spans="1:33" ht="13.5" customHeight="1" x14ac:dyDescent="0.3">
      <c r="A391" s="21"/>
      <c r="B391" s="22"/>
      <c r="C391" s="23"/>
      <c r="D391" s="21"/>
      <c r="E391" s="23"/>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row>
    <row r="392" spans="1:33" ht="13.5" customHeight="1" x14ac:dyDescent="0.3">
      <c r="A392" s="21"/>
      <c r="B392" s="22"/>
      <c r="C392" s="23"/>
      <c r="D392" s="21"/>
      <c r="E392" s="23"/>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row>
    <row r="393" spans="1:33" ht="13.5" customHeight="1" x14ac:dyDescent="0.3">
      <c r="A393" s="21"/>
      <c r="B393" s="22"/>
      <c r="C393" s="23"/>
      <c r="D393" s="21"/>
      <c r="E393" s="23"/>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row>
    <row r="394" spans="1:33" ht="13.5" customHeight="1" x14ac:dyDescent="0.3">
      <c r="A394" s="21"/>
      <c r="B394" s="22"/>
      <c r="C394" s="23"/>
      <c r="D394" s="21"/>
      <c r="E394" s="23"/>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row>
    <row r="395" spans="1:33" ht="13.5" customHeight="1" x14ac:dyDescent="0.3">
      <c r="A395" s="21"/>
      <c r="B395" s="22"/>
      <c r="C395" s="23"/>
      <c r="D395" s="21"/>
      <c r="E395" s="23"/>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row>
    <row r="396" spans="1:33" ht="13.5" customHeight="1" x14ac:dyDescent="0.3">
      <c r="A396" s="21"/>
      <c r="B396" s="22"/>
      <c r="C396" s="23"/>
      <c r="D396" s="21"/>
      <c r="E396" s="23"/>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row>
    <row r="397" spans="1:33" ht="13.5" customHeight="1" x14ac:dyDescent="0.3">
      <c r="A397" s="21"/>
      <c r="B397" s="22"/>
      <c r="C397" s="23"/>
      <c r="D397" s="21"/>
      <c r="E397" s="23"/>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row>
    <row r="398" spans="1:33" ht="13.5" customHeight="1" x14ac:dyDescent="0.3">
      <c r="A398" s="21"/>
      <c r="B398" s="22"/>
      <c r="C398" s="23"/>
      <c r="D398" s="21"/>
      <c r="E398" s="23"/>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row>
    <row r="399" spans="1:33" ht="13.5" customHeight="1" x14ac:dyDescent="0.3">
      <c r="A399" s="21"/>
      <c r="B399" s="22"/>
      <c r="C399" s="23"/>
      <c r="D399" s="21"/>
      <c r="E399" s="23"/>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row>
    <row r="400" spans="1:33" ht="13.5" customHeight="1" x14ac:dyDescent="0.3">
      <c r="A400" s="21"/>
      <c r="B400" s="22"/>
      <c r="C400" s="23"/>
      <c r="D400" s="21"/>
      <c r="E400" s="23"/>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row>
    <row r="401" spans="1:33" ht="13.5" customHeight="1" x14ac:dyDescent="0.3">
      <c r="A401" s="21"/>
      <c r="B401" s="22"/>
      <c r="C401" s="23"/>
      <c r="D401" s="21"/>
      <c r="E401" s="23"/>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row>
    <row r="402" spans="1:33" ht="13.5" customHeight="1" x14ac:dyDescent="0.3">
      <c r="A402" s="21"/>
      <c r="B402" s="22"/>
      <c r="C402" s="23"/>
      <c r="D402" s="21"/>
      <c r="E402" s="23"/>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row>
    <row r="403" spans="1:33" ht="13.5" customHeight="1" x14ac:dyDescent="0.3">
      <c r="A403" s="21"/>
      <c r="B403" s="22"/>
      <c r="C403" s="23"/>
      <c r="D403" s="21"/>
      <c r="E403" s="23"/>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row>
    <row r="404" spans="1:33" ht="13.5" customHeight="1" x14ac:dyDescent="0.3">
      <c r="A404" s="21"/>
      <c r="B404" s="22"/>
      <c r="C404" s="23"/>
      <c r="D404" s="21"/>
      <c r="E404" s="23"/>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row>
    <row r="405" spans="1:33" ht="13.5" customHeight="1" x14ac:dyDescent="0.3">
      <c r="A405" s="21"/>
      <c r="B405" s="22"/>
      <c r="C405" s="23"/>
      <c r="D405" s="21"/>
      <c r="E405" s="23"/>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row>
    <row r="406" spans="1:33" ht="13.5" customHeight="1" x14ac:dyDescent="0.3">
      <c r="A406" s="21"/>
      <c r="B406" s="22"/>
      <c r="C406" s="23"/>
      <c r="D406" s="21"/>
      <c r="E406" s="23"/>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row>
    <row r="407" spans="1:33" ht="13.5" customHeight="1" x14ac:dyDescent="0.3">
      <c r="A407" s="21"/>
      <c r="B407" s="22"/>
      <c r="C407" s="23"/>
      <c r="D407" s="21"/>
      <c r="E407" s="23"/>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row>
    <row r="408" spans="1:33" ht="13.5" customHeight="1" x14ac:dyDescent="0.3">
      <c r="A408" s="21"/>
      <c r="B408" s="22"/>
      <c r="C408" s="23"/>
      <c r="D408" s="21"/>
      <c r="E408" s="23"/>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row>
    <row r="409" spans="1:33" ht="13.5" customHeight="1" x14ac:dyDescent="0.3">
      <c r="A409" s="21"/>
      <c r="B409" s="22"/>
      <c r="C409" s="23"/>
      <c r="D409" s="21"/>
      <c r="E409" s="23"/>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row>
    <row r="410" spans="1:33" ht="13.5" customHeight="1" x14ac:dyDescent="0.3">
      <c r="A410" s="21"/>
      <c r="B410" s="22"/>
      <c r="C410" s="23"/>
      <c r="D410" s="21"/>
      <c r="E410" s="23"/>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row>
    <row r="411" spans="1:33" ht="13.5" customHeight="1" x14ac:dyDescent="0.3">
      <c r="A411" s="21"/>
      <c r="B411" s="22"/>
      <c r="C411" s="23"/>
      <c r="D411" s="21"/>
      <c r="E411" s="23"/>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row>
    <row r="412" spans="1:33" ht="13.5" customHeight="1" x14ac:dyDescent="0.3">
      <c r="A412" s="21"/>
      <c r="B412" s="22"/>
      <c r="C412" s="23"/>
      <c r="D412" s="21"/>
      <c r="E412" s="23"/>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row>
    <row r="413" spans="1:33" ht="13.5" customHeight="1" x14ac:dyDescent="0.3">
      <c r="A413" s="21"/>
      <c r="B413" s="22"/>
      <c r="C413" s="23"/>
      <c r="D413" s="21"/>
      <c r="E413" s="23"/>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row>
    <row r="414" spans="1:33" ht="13.5" customHeight="1" x14ac:dyDescent="0.3">
      <c r="A414" s="21"/>
      <c r="B414" s="22"/>
      <c r="C414" s="23"/>
      <c r="D414" s="21"/>
      <c r="E414" s="23"/>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row>
    <row r="415" spans="1:33" ht="13.5" customHeight="1" x14ac:dyDescent="0.3">
      <c r="A415" s="21"/>
      <c r="B415" s="22"/>
      <c r="C415" s="23"/>
      <c r="D415" s="21"/>
      <c r="E415" s="23"/>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row>
    <row r="416" spans="1:33" ht="13.5" customHeight="1" x14ac:dyDescent="0.3">
      <c r="A416" s="21"/>
      <c r="B416" s="22"/>
      <c r="C416" s="23"/>
      <c r="D416" s="21"/>
      <c r="E416" s="23"/>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row>
    <row r="417" spans="1:33" ht="13.5" customHeight="1" x14ac:dyDescent="0.3">
      <c r="A417" s="21"/>
      <c r="B417" s="22"/>
      <c r="C417" s="23"/>
      <c r="D417" s="21"/>
      <c r="E417" s="23"/>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row>
    <row r="418" spans="1:33" ht="13.5" customHeight="1" x14ac:dyDescent="0.3">
      <c r="A418" s="21"/>
      <c r="B418" s="22"/>
      <c r="C418" s="23"/>
      <c r="D418" s="21"/>
      <c r="E418" s="23"/>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row>
    <row r="419" spans="1:33" ht="13.5" customHeight="1" x14ac:dyDescent="0.3">
      <c r="A419" s="21"/>
      <c r="B419" s="22"/>
      <c r="C419" s="23"/>
      <c r="D419" s="21"/>
      <c r="E419" s="23"/>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row>
    <row r="420" spans="1:33" ht="13.5" customHeight="1" x14ac:dyDescent="0.3">
      <c r="A420" s="21"/>
      <c r="B420" s="22"/>
      <c r="C420" s="23"/>
      <c r="D420" s="21"/>
      <c r="E420" s="23"/>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row>
    <row r="421" spans="1:33" ht="13.5" customHeight="1" x14ac:dyDescent="0.3">
      <c r="A421" s="21"/>
      <c r="B421" s="22"/>
      <c r="C421" s="23"/>
      <c r="D421" s="21"/>
      <c r="E421" s="23"/>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row>
    <row r="422" spans="1:33" ht="13.5" customHeight="1" x14ac:dyDescent="0.3">
      <c r="A422" s="21"/>
      <c r="B422" s="22"/>
      <c r="C422" s="23"/>
      <c r="D422" s="21"/>
      <c r="E422" s="23"/>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row>
    <row r="423" spans="1:33" ht="13.5" customHeight="1" x14ac:dyDescent="0.3">
      <c r="A423" s="21"/>
      <c r="B423" s="22"/>
      <c r="C423" s="23"/>
      <c r="D423" s="21"/>
      <c r="E423" s="23"/>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row>
    <row r="424" spans="1:33" ht="13.5" customHeight="1" x14ac:dyDescent="0.3">
      <c r="A424" s="21"/>
      <c r="B424" s="22"/>
      <c r="C424" s="23"/>
      <c r="D424" s="21"/>
      <c r="E424" s="23"/>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row>
    <row r="425" spans="1:33" ht="13.5" customHeight="1" x14ac:dyDescent="0.3">
      <c r="A425" s="21"/>
      <c r="B425" s="22"/>
      <c r="C425" s="23"/>
      <c r="D425" s="21"/>
      <c r="E425" s="23"/>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row>
    <row r="426" spans="1:33" ht="13.5" customHeight="1" x14ac:dyDescent="0.3">
      <c r="A426" s="21"/>
      <c r="B426" s="22"/>
      <c r="C426" s="23"/>
      <c r="D426" s="21"/>
      <c r="E426" s="23"/>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row>
    <row r="427" spans="1:33" ht="13.5" customHeight="1" x14ac:dyDescent="0.3">
      <c r="A427" s="21"/>
      <c r="B427" s="22"/>
      <c r="C427" s="23"/>
      <c r="D427" s="21"/>
      <c r="E427" s="23"/>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row>
    <row r="428" spans="1:33" ht="13.5" customHeight="1" x14ac:dyDescent="0.3">
      <c r="A428" s="21"/>
      <c r="B428" s="22"/>
      <c r="C428" s="23"/>
      <c r="D428" s="21"/>
      <c r="E428" s="23"/>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row>
    <row r="429" spans="1:33" ht="13.5" customHeight="1" x14ac:dyDescent="0.3">
      <c r="A429" s="21"/>
      <c r="B429" s="22"/>
      <c r="C429" s="23"/>
      <c r="D429" s="21"/>
      <c r="E429" s="23"/>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row>
    <row r="430" spans="1:33" ht="13.5" customHeight="1" x14ac:dyDescent="0.3">
      <c r="A430" s="21"/>
      <c r="B430" s="22"/>
      <c r="C430" s="23"/>
      <c r="D430" s="21"/>
      <c r="E430" s="23"/>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row>
    <row r="431" spans="1:33" ht="13.5" customHeight="1" x14ac:dyDescent="0.3">
      <c r="A431" s="21"/>
      <c r="B431" s="22"/>
      <c r="C431" s="23"/>
      <c r="D431" s="21"/>
      <c r="E431" s="23"/>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row>
    <row r="432" spans="1:33" ht="13.5" customHeight="1" x14ac:dyDescent="0.3">
      <c r="A432" s="21"/>
      <c r="B432" s="22"/>
      <c r="C432" s="23"/>
      <c r="D432" s="21"/>
      <c r="E432" s="23"/>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row>
    <row r="433" spans="1:33" ht="13.5" customHeight="1" x14ac:dyDescent="0.3">
      <c r="A433" s="21"/>
      <c r="B433" s="22"/>
      <c r="C433" s="23"/>
      <c r="D433" s="21"/>
      <c r="E433" s="23"/>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row>
    <row r="434" spans="1:33" ht="13.5" customHeight="1" x14ac:dyDescent="0.3">
      <c r="A434" s="21"/>
      <c r="B434" s="22"/>
      <c r="C434" s="23"/>
      <c r="D434" s="21"/>
      <c r="E434" s="23"/>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row>
    <row r="435" spans="1:33" ht="13.5" customHeight="1" x14ac:dyDescent="0.3">
      <c r="A435" s="21"/>
      <c r="B435" s="22"/>
      <c r="C435" s="23"/>
      <c r="D435" s="21"/>
      <c r="E435" s="23"/>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row>
    <row r="436" spans="1:33" ht="13.5" customHeight="1" x14ac:dyDescent="0.3">
      <c r="A436" s="21"/>
      <c r="B436" s="22"/>
      <c r="C436" s="23"/>
      <c r="D436" s="21"/>
      <c r="E436" s="23"/>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row>
    <row r="437" spans="1:33" ht="13.5" customHeight="1" x14ac:dyDescent="0.3">
      <c r="A437" s="21"/>
      <c r="B437" s="22"/>
      <c r="C437" s="23"/>
      <c r="D437" s="21"/>
      <c r="E437" s="23"/>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row>
    <row r="438" spans="1:33" ht="13.5" customHeight="1" x14ac:dyDescent="0.3">
      <c r="A438" s="21"/>
      <c r="B438" s="22"/>
      <c r="C438" s="23"/>
      <c r="D438" s="21"/>
      <c r="E438" s="23"/>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row>
    <row r="439" spans="1:33" ht="13.5" customHeight="1" x14ac:dyDescent="0.3">
      <c r="A439" s="21"/>
      <c r="B439" s="22"/>
      <c r="C439" s="23"/>
      <c r="D439" s="21"/>
      <c r="E439" s="23"/>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row>
    <row r="440" spans="1:33" ht="13.5" customHeight="1" x14ac:dyDescent="0.3">
      <c r="A440" s="21"/>
      <c r="B440" s="22"/>
      <c r="C440" s="23"/>
      <c r="D440" s="21"/>
      <c r="E440" s="23"/>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row>
    <row r="441" spans="1:33" ht="13.5" customHeight="1" x14ac:dyDescent="0.3">
      <c r="A441" s="21"/>
      <c r="B441" s="22"/>
      <c r="C441" s="23"/>
      <c r="D441" s="21"/>
      <c r="E441" s="23"/>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row>
    <row r="442" spans="1:33" ht="13.5" customHeight="1" x14ac:dyDescent="0.3">
      <c r="A442" s="21"/>
      <c r="B442" s="22"/>
      <c r="C442" s="23"/>
      <c r="D442" s="21"/>
      <c r="E442" s="23"/>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row>
    <row r="443" spans="1:33" ht="13.5" customHeight="1" x14ac:dyDescent="0.3">
      <c r="A443" s="21"/>
      <c r="B443" s="22"/>
      <c r="C443" s="23"/>
      <c r="D443" s="21"/>
      <c r="E443" s="23"/>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row>
    <row r="444" spans="1:33" ht="13.5" customHeight="1" x14ac:dyDescent="0.3">
      <c r="A444" s="21"/>
      <c r="B444" s="22"/>
      <c r="C444" s="23"/>
      <c r="D444" s="21"/>
      <c r="E444" s="23"/>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row>
    <row r="445" spans="1:33" ht="13.5" customHeight="1" x14ac:dyDescent="0.3">
      <c r="A445" s="21"/>
      <c r="B445" s="22"/>
      <c r="C445" s="23"/>
      <c r="D445" s="21"/>
      <c r="E445" s="23"/>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row>
    <row r="446" spans="1:33" ht="13.5" customHeight="1" x14ac:dyDescent="0.3">
      <c r="A446" s="21"/>
      <c r="B446" s="22"/>
      <c r="C446" s="23"/>
      <c r="D446" s="21"/>
      <c r="E446" s="23"/>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row>
    <row r="447" spans="1:33" ht="13.5" customHeight="1" x14ac:dyDescent="0.3">
      <c r="A447" s="21"/>
      <c r="B447" s="22"/>
      <c r="C447" s="23"/>
      <c r="D447" s="21"/>
      <c r="E447" s="23"/>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row>
    <row r="448" spans="1:33" ht="13.5" customHeight="1" x14ac:dyDescent="0.3">
      <c r="A448" s="21"/>
      <c r="B448" s="22"/>
      <c r="C448" s="23"/>
      <c r="D448" s="21"/>
      <c r="E448" s="23"/>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row>
    <row r="449" spans="1:33" ht="13.5" customHeight="1" x14ac:dyDescent="0.3">
      <c r="A449" s="21"/>
      <c r="B449" s="22"/>
      <c r="C449" s="23"/>
      <c r="D449" s="21"/>
      <c r="E449" s="23"/>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row>
    <row r="450" spans="1:33" ht="13.5" customHeight="1" x14ac:dyDescent="0.3">
      <c r="A450" s="21"/>
      <c r="B450" s="22"/>
      <c r="C450" s="23"/>
      <c r="D450" s="21"/>
      <c r="E450" s="23"/>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row>
    <row r="451" spans="1:33" ht="13.5" customHeight="1" x14ac:dyDescent="0.3">
      <c r="A451" s="21"/>
      <c r="B451" s="22"/>
      <c r="C451" s="23"/>
      <c r="D451" s="21"/>
      <c r="E451" s="23"/>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row>
    <row r="452" spans="1:33" ht="13.5" customHeight="1" x14ac:dyDescent="0.3">
      <c r="A452" s="21"/>
      <c r="B452" s="22"/>
      <c r="C452" s="23"/>
      <c r="D452" s="21"/>
      <c r="E452" s="23"/>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row>
    <row r="453" spans="1:33" ht="13.5" customHeight="1" x14ac:dyDescent="0.3">
      <c r="A453" s="21"/>
      <c r="B453" s="22"/>
      <c r="C453" s="23"/>
      <c r="D453" s="21"/>
      <c r="E453" s="23"/>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row>
    <row r="454" spans="1:33" ht="13.5" customHeight="1" x14ac:dyDescent="0.3">
      <c r="A454" s="21"/>
      <c r="B454" s="22"/>
      <c r="C454" s="23"/>
      <c r="D454" s="21"/>
      <c r="E454" s="23"/>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row>
    <row r="455" spans="1:33" ht="13.5" customHeight="1" x14ac:dyDescent="0.3">
      <c r="A455" s="21"/>
      <c r="B455" s="22"/>
      <c r="C455" s="23"/>
      <c r="D455" s="21"/>
      <c r="E455" s="23"/>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row>
    <row r="456" spans="1:33" ht="13.5" customHeight="1" x14ac:dyDescent="0.3">
      <c r="A456" s="21"/>
      <c r="B456" s="22"/>
      <c r="C456" s="23"/>
      <c r="D456" s="21"/>
      <c r="E456" s="23"/>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row>
    <row r="457" spans="1:33" ht="13.5" customHeight="1" x14ac:dyDescent="0.3">
      <c r="A457" s="21"/>
      <c r="B457" s="22"/>
      <c r="C457" s="23"/>
      <c r="D457" s="21"/>
      <c r="E457" s="23"/>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row>
    <row r="458" spans="1:33" ht="13.5" customHeight="1" x14ac:dyDescent="0.3">
      <c r="A458" s="21"/>
      <c r="B458" s="22"/>
      <c r="C458" s="23"/>
      <c r="D458" s="21"/>
      <c r="E458" s="23"/>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row>
    <row r="459" spans="1:33" ht="13.5" customHeight="1" x14ac:dyDescent="0.3">
      <c r="A459" s="21"/>
      <c r="B459" s="22"/>
      <c r="C459" s="23"/>
      <c r="D459" s="21"/>
      <c r="E459" s="23"/>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row>
    <row r="460" spans="1:33" ht="13.5" customHeight="1" x14ac:dyDescent="0.3">
      <c r="A460" s="21"/>
      <c r="B460" s="22"/>
      <c r="C460" s="23"/>
      <c r="D460" s="21"/>
      <c r="E460" s="23"/>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row>
    <row r="461" spans="1:33" ht="13.5" customHeight="1" x14ac:dyDescent="0.3">
      <c r="A461" s="21"/>
      <c r="B461" s="22"/>
      <c r="C461" s="23"/>
      <c r="D461" s="21"/>
      <c r="E461" s="23"/>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row>
    <row r="462" spans="1:33" ht="13.5" customHeight="1" x14ac:dyDescent="0.3">
      <c r="A462" s="21"/>
      <c r="B462" s="22"/>
      <c r="C462" s="23"/>
      <c r="D462" s="21"/>
      <c r="E462" s="23"/>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row>
    <row r="463" spans="1:33" ht="13.5" customHeight="1" x14ac:dyDescent="0.3">
      <c r="A463" s="21"/>
      <c r="B463" s="22"/>
      <c r="C463" s="23"/>
      <c r="D463" s="21"/>
      <c r="E463" s="23"/>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row>
    <row r="464" spans="1:33" ht="13.5" customHeight="1" x14ac:dyDescent="0.3">
      <c r="A464" s="21"/>
      <c r="B464" s="22"/>
      <c r="C464" s="23"/>
      <c r="D464" s="21"/>
      <c r="E464" s="23"/>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row>
    <row r="465" spans="1:33" ht="13.5" customHeight="1" x14ac:dyDescent="0.3">
      <c r="A465" s="21"/>
      <c r="B465" s="22"/>
      <c r="C465" s="23"/>
      <c r="D465" s="21"/>
      <c r="E465" s="23"/>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row>
    <row r="466" spans="1:33" ht="13.5" customHeight="1" x14ac:dyDescent="0.3">
      <c r="A466" s="21"/>
      <c r="B466" s="22"/>
      <c r="C466" s="23"/>
      <c r="D466" s="21"/>
      <c r="E466" s="23"/>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row>
    <row r="467" spans="1:33" ht="13.5" customHeight="1" x14ac:dyDescent="0.3">
      <c r="A467" s="21"/>
      <c r="B467" s="22"/>
      <c r="C467" s="23"/>
      <c r="D467" s="21"/>
      <c r="E467" s="23"/>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row>
    <row r="468" spans="1:33" ht="13.5" customHeight="1" x14ac:dyDescent="0.3">
      <c r="A468" s="21"/>
      <c r="B468" s="22"/>
      <c r="C468" s="23"/>
      <c r="D468" s="21"/>
      <c r="E468" s="23"/>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row>
    <row r="469" spans="1:33" ht="13.5" customHeight="1" x14ac:dyDescent="0.3">
      <c r="A469" s="21"/>
      <c r="B469" s="22"/>
      <c r="C469" s="23"/>
      <c r="D469" s="21"/>
      <c r="E469" s="23"/>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row>
    <row r="470" spans="1:33" ht="13.5" customHeight="1" x14ac:dyDescent="0.3">
      <c r="A470" s="21"/>
      <c r="B470" s="22"/>
      <c r="C470" s="23"/>
      <c r="D470" s="21"/>
      <c r="E470" s="23"/>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row>
    <row r="471" spans="1:33" ht="13.5" customHeight="1" x14ac:dyDescent="0.3">
      <c r="A471" s="21"/>
      <c r="B471" s="22"/>
      <c r="C471" s="23"/>
      <c r="D471" s="21"/>
      <c r="E471" s="23"/>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row>
    <row r="472" spans="1:33" ht="13.5" customHeight="1" x14ac:dyDescent="0.3">
      <c r="A472" s="21"/>
      <c r="B472" s="22"/>
      <c r="C472" s="23"/>
      <c r="D472" s="21"/>
      <c r="E472" s="23"/>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row>
    <row r="473" spans="1:33" ht="13.5" customHeight="1" x14ac:dyDescent="0.3">
      <c r="A473" s="21"/>
      <c r="B473" s="22"/>
      <c r="C473" s="23"/>
      <c r="D473" s="21"/>
      <c r="E473" s="23"/>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row>
    <row r="474" spans="1:33" ht="13.5" customHeight="1" x14ac:dyDescent="0.3">
      <c r="A474" s="21"/>
      <c r="B474" s="22"/>
      <c r="C474" s="23"/>
      <c r="D474" s="21"/>
      <c r="E474" s="23"/>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row>
    <row r="475" spans="1:33" ht="13.5" customHeight="1" x14ac:dyDescent="0.3">
      <c r="A475" s="21"/>
      <c r="B475" s="22"/>
      <c r="C475" s="23"/>
      <c r="D475" s="21"/>
      <c r="E475" s="23"/>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row>
    <row r="476" spans="1:33" ht="13.5" customHeight="1" x14ac:dyDescent="0.3">
      <c r="A476" s="21"/>
      <c r="B476" s="22"/>
      <c r="C476" s="23"/>
      <c r="D476" s="21"/>
      <c r="E476" s="23"/>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row>
    <row r="477" spans="1:33" ht="13.5" customHeight="1" x14ac:dyDescent="0.3">
      <c r="A477" s="21"/>
      <c r="B477" s="22"/>
      <c r="C477" s="23"/>
      <c r="D477" s="21"/>
      <c r="E477" s="23"/>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row>
    <row r="478" spans="1:33" ht="13.5" customHeight="1" x14ac:dyDescent="0.3">
      <c r="A478" s="21"/>
      <c r="B478" s="22"/>
      <c r="C478" s="23"/>
      <c r="D478" s="21"/>
      <c r="E478" s="23"/>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row>
    <row r="479" spans="1:33" ht="13.5" customHeight="1" x14ac:dyDescent="0.3">
      <c r="A479" s="21"/>
      <c r="B479" s="22"/>
      <c r="C479" s="23"/>
      <c r="D479" s="21"/>
      <c r="E479" s="23"/>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row>
    <row r="480" spans="1:33" ht="13.5" customHeight="1" x14ac:dyDescent="0.3">
      <c r="A480" s="21"/>
      <c r="B480" s="22"/>
      <c r="C480" s="23"/>
      <c r="D480" s="21"/>
      <c r="E480" s="23"/>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row>
    <row r="481" spans="1:33" ht="13.5" customHeight="1" x14ac:dyDescent="0.3">
      <c r="A481" s="21"/>
      <c r="B481" s="22"/>
      <c r="C481" s="23"/>
      <c r="D481" s="21"/>
      <c r="E481" s="23"/>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row>
    <row r="482" spans="1:33" ht="13.5" customHeight="1" x14ac:dyDescent="0.3">
      <c r="A482" s="21"/>
      <c r="B482" s="22"/>
      <c r="C482" s="23"/>
      <c r="D482" s="21"/>
      <c r="E482" s="23"/>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row>
    <row r="483" spans="1:33" ht="13.5" customHeight="1" x14ac:dyDescent="0.3">
      <c r="A483" s="21"/>
      <c r="B483" s="22"/>
      <c r="C483" s="23"/>
      <c r="D483" s="21"/>
      <c r="E483" s="23"/>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row>
    <row r="484" spans="1:33" ht="13.5" customHeight="1" x14ac:dyDescent="0.3">
      <c r="A484" s="21"/>
      <c r="B484" s="22"/>
      <c r="C484" s="23"/>
      <c r="D484" s="21"/>
      <c r="E484" s="23"/>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row>
    <row r="485" spans="1:33" ht="13.5" customHeight="1" x14ac:dyDescent="0.3">
      <c r="A485" s="21"/>
      <c r="B485" s="22"/>
      <c r="C485" s="23"/>
      <c r="D485" s="21"/>
      <c r="E485" s="23"/>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row>
    <row r="486" spans="1:33" ht="13.5" customHeight="1" x14ac:dyDescent="0.3">
      <c r="A486" s="21"/>
      <c r="B486" s="22"/>
      <c r="C486" s="23"/>
      <c r="D486" s="21"/>
      <c r="E486" s="23"/>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row>
    <row r="487" spans="1:33" ht="13.5" customHeight="1" x14ac:dyDescent="0.3">
      <c r="A487" s="21"/>
      <c r="B487" s="22"/>
      <c r="C487" s="23"/>
      <c r="D487" s="21"/>
      <c r="E487" s="23"/>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row>
    <row r="488" spans="1:33" ht="13.5" customHeight="1" x14ac:dyDescent="0.3">
      <c r="A488" s="21"/>
      <c r="B488" s="22"/>
      <c r="C488" s="23"/>
      <c r="D488" s="21"/>
      <c r="E488" s="23"/>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row>
    <row r="489" spans="1:33" ht="13.5" customHeight="1" x14ac:dyDescent="0.3">
      <c r="A489" s="21"/>
      <c r="B489" s="22"/>
      <c r="C489" s="23"/>
      <c r="D489" s="21"/>
      <c r="E489" s="23"/>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row>
    <row r="490" spans="1:33" ht="13.5" customHeight="1" x14ac:dyDescent="0.3">
      <c r="A490" s="21"/>
      <c r="B490" s="22"/>
      <c r="C490" s="23"/>
      <c r="D490" s="21"/>
      <c r="E490" s="23"/>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row>
    <row r="491" spans="1:33" ht="13.5" customHeight="1" x14ac:dyDescent="0.3">
      <c r="A491" s="21"/>
      <c r="B491" s="22"/>
      <c r="C491" s="23"/>
      <c r="D491" s="21"/>
      <c r="E491" s="23"/>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row>
    <row r="492" spans="1:33" ht="13.5" customHeight="1" x14ac:dyDescent="0.3">
      <c r="A492" s="21"/>
      <c r="B492" s="22"/>
      <c r="C492" s="23"/>
      <c r="D492" s="21"/>
      <c r="E492" s="23"/>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row>
    <row r="493" spans="1:33" ht="13.5" customHeight="1" x14ac:dyDescent="0.3">
      <c r="A493" s="21"/>
      <c r="B493" s="22"/>
      <c r="C493" s="23"/>
      <c r="D493" s="21"/>
      <c r="E493" s="23"/>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row>
    <row r="494" spans="1:33" ht="13.5" customHeight="1" x14ac:dyDescent="0.3">
      <c r="A494" s="21"/>
      <c r="B494" s="22"/>
      <c r="C494" s="23"/>
      <c r="D494" s="21"/>
      <c r="E494" s="23"/>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row>
    <row r="495" spans="1:33" ht="13.5" customHeight="1" x14ac:dyDescent="0.3">
      <c r="A495" s="21"/>
      <c r="B495" s="22"/>
      <c r="C495" s="23"/>
      <c r="D495" s="21"/>
      <c r="E495" s="23"/>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row>
    <row r="496" spans="1:33" ht="13.5" customHeight="1" x14ac:dyDescent="0.3">
      <c r="A496" s="21"/>
      <c r="B496" s="22"/>
      <c r="C496" s="23"/>
      <c r="D496" s="21"/>
      <c r="E496" s="23"/>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row>
    <row r="497" spans="1:33" ht="13.5" customHeight="1" x14ac:dyDescent="0.3">
      <c r="A497" s="21"/>
      <c r="B497" s="22"/>
      <c r="C497" s="23"/>
      <c r="D497" s="21"/>
      <c r="E497" s="23"/>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row>
    <row r="498" spans="1:33" ht="13.5" customHeight="1" x14ac:dyDescent="0.3">
      <c r="A498" s="21"/>
      <c r="B498" s="22"/>
      <c r="C498" s="23"/>
      <c r="D498" s="21"/>
      <c r="E498" s="23"/>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row>
    <row r="499" spans="1:33" ht="13.5" customHeight="1" x14ac:dyDescent="0.3">
      <c r="A499" s="21"/>
      <c r="B499" s="22"/>
      <c r="C499" s="23"/>
      <c r="D499" s="21"/>
      <c r="E499" s="23"/>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row>
    <row r="500" spans="1:33" ht="13.5" customHeight="1" x14ac:dyDescent="0.3">
      <c r="A500" s="21"/>
      <c r="B500" s="22"/>
      <c r="C500" s="23"/>
      <c r="D500" s="21"/>
      <c r="E500" s="23"/>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row>
    <row r="501" spans="1:33" ht="13.5" customHeight="1" x14ac:dyDescent="0.3">
      <c r="A501" s="21"/>
      <c r="B501" s="22"/>
      <c r="C501" s="23"/>
      <c r="D501" s="21"/>
      <c r="E501" s="23"/>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row>
    <row r="502" spans="1:33" ht="13.5" customHeight="1" x14ac:dyDescent="0.3">
      <c r="A502" s="21"/>
      <c r="B502" s="22"/>
      <c r="C502" s="23"/>
      <c r="D502" s="21"/>
      <c r="E502" s="23"/>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row>
    <row r="503" spans="1:33" ht="13.5" customHeight="1" x14ac:dyDescent="0.3">
      <c r="A503" s="21"/>
      <c r="B503" s="22"/>
      <c r="C503" s="23"/>
      <c r="D503" s="21"/>
      <c r="E503" s="23"/>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row>
    <row r="504" spans="1:33" ht="13.5" customHeight="1" x14ac:dyDescent="0.3">
      <c r="A504" s="21"/>
      <c r="B504" s="22"/>
      <c r="C504" s="23"/>
      <c r="D504" s="21"/>
      <c r="E504" s="23"/>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row>
    <row r="505" spans="1:33" ht="13.5" customHeight="1" x14ac:dyDescent="0.3">
      <c r="A505" s="21"/>
      <c r="B505" s="22"/>
      <c r="C505" s="23"/>
      <c r="D505" s="21"/>
      <c r="E505" s="23"/>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row>
    <row r="506" spans="1:33" ht="13.5" customHeight="1" x14ac:dyDescent="0.3">
      <c r="A506" s="21"/>
      <c r="B506" s="22"/>
      <c r="C506" s="23"/>
      <c r="D506" s="21"/>
      <c r="E506" s="23"/>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row>
    <row r="507" spans="1:33" ht="13.5" customHeight="1" x14ac:dyDescent="0.3">
      <c r="A507" s="21"/>
      <c r="B507" s="22"/>
      <c r="C507" s="23"/>
      <c r="D507" s="21"/>
      <c r="E507" s="23"/>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row>
    <row r="508" spans="1:33" ht="13.5" customHeight="1" x14ac:dyDescent="0.3">
      <c r="A508" s="21"/>
      <c r="B508" s="22"/>
      <c r="C508" s="23"/>
      <c r="D508" s="21"/>
      <c r="E508" s="23"/>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row>
    <row r="509" spans="1:33" ht="13.5" customHeight="1" x14ac:dyDescent="0.3">
      <c r="A509" s="21"/>
      <c r="B509" s="22"/>
      <c r="C509" s="23"/>
      <c r="D509" s="21"/>
      <c r="E509" s="23"/>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row>
    <row r="510" spans="1:33" ht="13.5" customHeight="1" x14ac:dyDescent="0.3">
      <c r="A510" s="21"/>
      <c r="B510" s="22"/>
      <c r="C510" s="23"/>
      <c r="D510" s="21"/>
      <c r="E510" s="23"/>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row>
    <row r="511" spans="1:33" ht="13.5" customHeight="1" x14ac:dyDescent="0.3">
      <c r="A511" s="21"/>
      <c r="B511" s="22"/>
      <c r="C511" s="23"/>
      <c r="D511" s="21"/>
      <c r="E511" s="23"/>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row>
    <row r="512" spans="1:33" ht="13.5" customHeight="1" x14ac:dyDescent="0.3">
      <c r="A512" s="21"/>
      <c r="B512" s="22"/>
      <c r="C512" s="23"/>
      <c r="D512" s="21"/>
      <c r="E512" s="23"/>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row>
    <row r="513" spans="1:33" ht="13.5" customHeight="1" x14ac:dyDescent="0.3">
      <c r="A513" s="21"/>
      <c r="B513" s="22"/>
      <c r="C513" s="23"/>
      <c r="D513" s="21"/>
      <c r="E513" s="23"/>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row>
    <row r="514" spans="1:33" ht="13.5" customHeight="1" x14ac:dyDescent="0.3">
      <c r="A514" s="21"/>
      <c r="B514" s="22"/>
      <c r="C514" s="23"/>
      <c r="D514" s="21"/>
      <c r="E514" s="23"/>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row>
    <row r="515" spans="1:33" ht="13.5" customHeight="1" x14ac:dyDescent="0.3">
      <c r="A515" s="21"/>
      <c r="B515" s="22"/>
      <c r="C515" s="23"/>
      <c r="D515" s="21"/>
      <c r="E515" s="23"/>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row>
    <row r="516" spans="1:33" ht="13.5" customHeight="1" x14ac:dyDescent="0.3">
      <c r="A516" s="21"/>
      <c r="B516" s="22"/>
      <c r="C516" s="23"/>
      <c r="D516" s="21"/>
      <c r="E516" s="23"/>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row>
    <row r="517" spans="1:33" ht="13.5" customHeight="1" x14ac:dyDescent="0.3">
      <c r="A517" s="21"/>
      <c r="B517" s="22"/>
      <c r="C517" s="23"/>
      <c r="D517" s="21"/>
      <c r="E517" s="23"/>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row>
    <row r="518" spans="1:33" ht="13.5" customHeight="1" x14ac:dyDescent="0.3">
      <c r="A518" s="21"/>
      <c r="B518" s="22"/>
      <c r="C518" s="23"/>
      <c r="D518" s="21"/>
      <c r="E518" s="23"/>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row>
    <row r="519" spans="1:33" ht="13.5" customHeight="1" x14ac:dyDescent="0.3">
      <c r="A519" s="21"/>
      <c r="B519" s="22"/>
      <c r="C519" s="23"/>
      <c r="D519" s="21"/>
      <c r="E519" s="23"/>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row>
    <row r="520" spans="1:33" ht="13.5" customHeight="1" x14ac:dyDescent="0.3">
      <c r="A520" s="21"/>
      <c r="B520" s="22"/>
      <c r="C520" s="23"/>
      <c r="D520" s="21"/>
      <c r="E520" s="23"/>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row>
    <row r="521" spans="1:33" ht="13.5" customHeight="1" x14ac:dyDescent="0.3">
      <c r="A521" s="21"/>
      <c r="B521" s="22"/>
      <c r="C521" s="23"/>
      <c r="D521" s="21"/>
      <c r="E521" s="23"/>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row>
    <row r="522" spans="1:33" ht="13.5" customHeight="1" x14ac:dyDescent="0.3">
      <c r="A522" s="21"/>
      <c r="B522" s="22"/>
      <c r="C522" s="23"/>
      <c r="D522" s="21"/>
      <c r="E522" s="23"/>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row>
    <row r="523" spans="1:33" ht="13.5" customHeight="1" x14ac:dyDescent="0.3">
      <c r="A523" s="21"/>
      <c r="B523" s="22"/>
      <c r="C523" s="23"/>
      <c r="D523" s="21"/>
      <c r="E523" s="23"/>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row>
    <row r="524" spans="1:33" ht="13.5" customHeight="1" x14ac:dyDescent="0.3">
      <c r="A524" s="21"/>
      <c r="B524" s="22"/>
      <c r="C524" s="23"/>
      <c r="D524" s="21"/>
      <c r="E524" s="23"/>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row>
    <row r="525" spans="1:33" ht="13.5" customHeight="1" x14ac:dyDescent="0.3">
      <c r="A525" s="21"/>
      <c r="B525" s="22"/>
      <c r="C525" s="23"/>
      <c r="D525" s="21"/>
      <c r="E525" s="23"/>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row>
    <row r="526" spans="1:33" ht="13.5" customHeight="1" x14ac:dyDescent="0.3">
      <c r="A526" s="21"/>
      <c r="B526" s="22"/>
      <c r="C526" s="23"/>
      <c r="D526" s="21"/>
      <c r="E526" s="23"/>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row>
    <row r="527" spans="1:33" ht="13.5" customHeight="1" x14ac:dyDescent="0.3">
      <c r="A527" s="21"/>
      <c r="B527" s="22"/>
      <c r="C527" s="23"/>
      <c r="D527" s="21"/>
      <c r="E527" s="23"/>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row>
    <row r="528" spans="1:33" ht="13.5" customHeight="1" x14ac:dyDescent="0.3">
      <c r="A528" s="21"/>
      <c r="B528" s="22"/>
      <c r="C528" s="23"/>
      <c r="D528" s="21"/>
      <c r="E528" s="23"/>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row>
    <row r="529" spans="1:33" ht="13.5" customHeight="1" x14ac:dyDescent="0.3">
      <c r="A529" s="21"/>
      <c r="B529" s="22"/>
      <c r="C529" s="23"/>
      <c r="D529" s="21"/>
      <c r="E529" s="23"/>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row>
    <row r="530" spans="1:33" ht="13.5" customHeight="1" x14ac:dyDescent="0.3">
      <c r="A530" s="21"/>
      <c r="B530" s="22"/>
      <c r="C530" s="23"/>
      <c r="D530" s="21"/>
      <c r="E530" s="23"/>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row>
    <row r="531" spans="1:33" ht="13.5" customHeight="1" x14ac:dyDescent="0.3">
      <c r="A531" s="21"/>
      <c r="B531" s="22"/>
      <c r="C531" s="23"/>
      <c r="D531" s="21"/>
      <c r="E531" s="23"/>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row>
    <row r="532" spans="1:33" ht="13.5" customHeight="1" x14ac:dyDescent="0.3">
      <c r="A532" s="21"/>
      <c r="B532" s="22"/>
      <c r="C532" s="23"/>
      <c r="D532" s="21"/>
      <c r="E532" s="23"/>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row>
    <row r="533" spans="1:33" ht="13.5" customHeight="1" x14ac:dyDescent="0.3">
      <c r="A533" s="21"/>
      <c r="B533" s="22"/>
      <c r="C533" s="23"/>
      <c r="D533" s="21"/>
      <c r="E533" s="23"/>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row>
    <row r="534" spans="1:33" ht="13.5" customHeight="1" x14ac:dyDescent="0.3">
      <c r="A534" s="21"/>
      <c r="B534" s="22"/>
      <c r="C534" s="23"/>
      <c r="D534" s="21"/>
      <c r="E534" s="23"/>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row>
    <row r="535" spans="1:33" ht="13.5" customHeight="1" x14ac:dyDescent="0.3">
      <c r="A535" s="21"/>
      <c r="B535" s="22"/>
      <c r="C535" s="23"/>
      <c r="D535" s="21"/>
      <c r="E535" s="23"/>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row>
    <row r="536" spans="1:33" ht="13.5" customHeight="1" x14ac:dyDescent="0.3">
      <c r="A536" s="21"/>
      <c r="B536" s="22"/>
      <c r="C536" s="23"/>
      <c r="D536" s="21"/>
      <c r="E536" s="23"/>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row>
    <row r="537" spans="1:33" ht="13.5" customHeight="1" x14ac:dyDescent="0.3">
      <c r="A537" s="21"/>
      <c r="B537" s="22"/>
      <c r="C537" s="23"/>
      <c r="D537" s="21"/>
      <c r="E537" s="23"/>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row>
    <row r="538" spans="1:33" ht="13.5" customHeight="1" x14ac:dyDescent="0.3">
      <c r="A538" s="21"/>
      <c r="B538" s="22"/>
      <c r="C538" s="23"/>
      <c r="D538" s="21"/>
      <c r="E538" s="23"/>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row>
    <row r="539" spans="1:33" ht="13.5" customHeight="1" x14ac:dyDescent="0.3">
      <c r="A539" s="21"/>
      <c r="B539" s="22"/>
      <c r="C539" s="23"/>
      <c r="D539" s="21"/>
      <c r="E539" s="23"/>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row>
    <row r="540" spans="1:33" ht="13.5" customHeight="1" x14ac:dyDescent="0.3">
      <c r="A540" s="21"/>
      <c r="B540" s="22"/>
      <c r="C540" s="23"/>
      <c r="D540" s="21"/>
      <c r="E540" s="23"/>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row>
    <row r="541" spans="1:33" ht="13.5" customHeight="1" x14ac:dyDescent="0.3">
      <c r="A541" s="21"/>
      <c r="B541" s="22"/>
      <c r="C541" s="23"/>
      <c r="D541" s="21"/>
      <c r="E541" s="23"/>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row>
    <row r="542" spans="1:33" ht="13.5" customHeight="1" x14ac:dyDescent="0.3">
      <c r="A542" s="21"/>
      <c r="B542" s="22"/>
      <c r="C542" s="23"/>
      <c r="D542" s="21"/>
      <c r="E542" s="23"/>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row>
    <row r="543" spans="1:33" ht="13.5" customHeight="1" x14ac:dyDescent="0.3">
      <c r="A543" s="21"/>
      <c r="B543" s="22"/>
      <c r="C543" s="23"/>
      <c r="D543" s="21"/>
      <c r="E543" s="23"/>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row>
    <row r="544" spans="1:33" ht="13.5" customHeight="1" x14ac:dyDescent="0.3">
      <c r="A544" s="21"/>
      <c r="B544" s="22"/>
      <c r="C544" s="23"/>
      <c r="D544" s="21"/>
      <c r="E544" s="23"/>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row>
    <row r="545" spans="1:33" ht="13.5" customHeight="1" x14ac:dyDescent="0.3">
      <c r="A545" s="21"/>
      <c r="B545" s="22"/>
      <c r="C545" s="23"/>
      <c r="D545" s="21"/>
      <c r="E545" s="23"/>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row>
    <row r="546" spans="1:33" ht="13.5" customHeight="1" x14ac:dyDescent="0.3">
      <c r="A546" s="21"/>
      <c r="B546" s="22"/>
      <c r="C546" s="23"/>
      <c r="D546" s="21"/>
      <c r="E546" s="23"/>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row>
    <row r="547" spans="1:33" ht="13.5" customHeight="1" x14ac:dyDescent="0.3">
      <c r="A547" s="21"/>
      <c r="B547" s="22"/>
      <c r="C547" s="23"/>
      <c r="D547" s="21"/>
      <c r="E547" s="23"/>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row>
    <row r="548" spans="1:33" ht="13.5" customHeight="1" x14ac:dyDescent="0.3">
      <c r="A548" s="21"/>
      <c r="B548" s="22"/>
      <c r="C548" s="23"/>
      <c r="D548" s="21"/>
      <c r="E548" s="23"/>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row>
    <row r="549" spans="1:33" ht="13.5" customHeight="1" x14ac:dyDescent="0.3">
      <c r="A549" s="21"/>
      <c r="B549" s="22"/>
      <c r="C549" s="23"/>
      <c r="D549" s="21"/>
      <c r="E549" s="23"/>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row>
    <row r="550" spans="1:33" ht="13.5" customHeight="1" x14ac:dyDescent="0.3">
      <c r="A550" s="21"/>
      <c r="B550" s="22"/>
      <c r="C550" s="23"/>
      <c r="D550" s="21"/>
      <c r="E550" s="23"/>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row>
    <row r="551" spans="1:33" ht="13.5" customHeight="1" x14ac:dyDescent="0.3">
      <c r="A551" s="21"/>
      <c r="B551" s="22"/>
      <c r="C551" s="23"/>
      <c r="D551" s="21"/>
      <c r="E551" s="23"/>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row>
    <row r="552" spans="1:33" ht="13.5" customHeight="1" x14ac:dyDescent="0.3">
      <c r="A552" s="21"/>
      <c r="B552" s="22"/>
      <c r="C552" s="23"/>
      <c r="D552" s="21"/>
      <c r="E552" s="23"/>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row>
    <row r="553" spans="1:33" ht="13.5" customHeight="1" x14ac:dyDescent="0.3">
      <c r="A553" s="21"/>
      <c r="B553" s="22"/>
      <c r="C553" s="23"/>
      <c r="D553" s="21"/>
      <c r="E553" s="23"/>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row>
    <row r="554" spans="1:33" ht="13.5" customHeight="1" x14ac:dyDescent="0.3">
      <c r="A554" s="21"/>
      <c r="B554" s="22"/>
      <c r="C554" s="23"/>
      <c r="D554" s="21"/>
      <c r="E554" s="23"/>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row>
    <row r="555" spans="1:33" ht="13.5" customHeight="1" x14ac:dyDescent="0.3">
      <c r="A555" s="21"/>
      <c r="B555" s="22"/>
      <c r="C555" s="23"/>
      <c r="D555" s="21"/>
      <c r="E555" s="23"/>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row>
    <row r="556" spans="1:33" ht="13.5" customHeight="1" x14ac:dyDescent="0.3">
      <c r="A556" s="21"/>
      <c r="B556" s="22"/>
      <c r="C556" s="23"/>
      <c r="D556" s="21"/>
      <c r="E556" s="23"/>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row>
    <row r="557" spans="1:33" ht="13.5" customHeight="1" x14ac:dyDescent="0.3">
      <c r="A557" s="21"/>
      <c r="B557" s="22"/>
      <c r="C557" s="23"/>
      <c r="D557" s="21"/>
      <c r="E557" s="23"/>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row>
    <row r="558" spans="1:33" ht="13.5" customHeight="1" x14ac:dyDescent="0.3">
      <c r="A558" s="21"/>
      <c r="B558" s="22"/>
      <c r="C558" s="23"/>
      <c r="D558" s="21"/>
      <c r="E558" s="23"/>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row>
    <row r="559" spans="1:33" ht="13.5" customHeight="1" x14ac:dyDescent="0.3">
      <c r="A559" s="21"/>
      <c r="B559" s="22"/>
      <c r="C559" s="23"/>
      <c r="D559" s="21"/>
      <c r="E559" s="23"/>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row>
    <row r="560" spans="1:33" ht="13.5" customHeight="1" x14ac:dyDescent="0.3">
      <c r="A560" s="21"/>
      <c r="B560" s="22"/>
      <c r="C560" s="23"/>
      <c r="D560" s="21"/>
      <c r="E560" s="23"/>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row>
    <row r="561" spans="1:33" ht="13.5" customHeight="1" x14ac:dyDescent="0.3">
      <c r="A561" s="21"/>
      <c r="B561" s="22"/>
      <c r="C561" s="23"/>
      <c r="D561" s="21"/>
      <c r="E561" s="23"/>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row>
    <row r="562" spans="1:33" ht="13.5" customHeight="1" x14ac:dyDescent="0.3">
      <c r="A562" s="21"/>
      <c r="B562" s="22"/>
      <c r="C562" s="23"/>
      <c r="D562" s="21"/>
      <c r="E562" s="23"/>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row>
    <row r="563" spans="1:33" ht="13.5" customHeight="1" x14ac:dyDescent="0.3">
      <c r="A563" s="21"/>
      <c r="B563" s="22"/>
      <c r="C563" s="23"/>
      <c r="D563" s="21"/>
      <c r="E563" s="23"/>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row>
    <row r="564" spans="1:33" ht="13.5" customHeight="1" x14ac:dyDescent="0.3">
      <c r="A564" s="21"/>
      <c r="B564" s="22"/>
      <c r="C564" s="23"/>
      <c r="D564" s="21"/>
      <c r="E564" s="23"/>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row>
    <row r="565" spans="1:33" ht="13.5" customHeight="1" x14ac:dyDescent="0.3">
      <c r="A565" s="21"/>
      <c r="B565" s="22"/>
      <c r="C565" s="23"/>
      <c r="D565" s="21"/>
      <c r="E565" s="23"/>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row>
    <row r="566" spans="1:33" ht="13.5" customHeight="1" x14ac:dyDescent="0.3">
      <c r="A566" s="21"/>
      <c r="B566" s="22"/>
      <c r="C566" s="23"/>
      <c r="D566" s="21"/>
      <c r="E566" s="23"/>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row>
    <row r="567" spans="1:33" ht="13.5" customHeight="1" x14ac:dyDescent="0.3">
      <c r="A567" s="21"/>
      <c r="B567" s="22"/>
      <c r="C567" s="23"/>
      <c r="D567" s="21"/>
      <c r="E567" s="23"/>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row>
    <row r="568" spans="1:33" ht="13.5" customHeight="1" x14ac:dyDescent="0.3">
      <c r="A568" s="21"/>
      <c r="B568" s="22"/>
      <c r="C568" s="23"/>
      <c r="D568" s="21"/>
      <c r="E568" s="23"/>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row>
    <row r="569" spans="1:33" ht="13.5" customHeight="1" x14ac:dyDescent="0.3">
      <c r="A569" s="21"/>
      <c r="B569" s="22"/>
      <c r="C569" s="23"/>
      <c r="D569" s="21"/>
      <c r="E569" s="23"/>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row>
    <row r="570" spans="1:33" ht="13.5" customHeight="1" x14ac:dyDescent="0.3">
      <c r="A570" s="21"/>
      <c r="B570" s="22"/>
      <c r="C570" s="23"/>
      <c r="D570" s="21"/>
      <c r="E570" s="23"/>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row>
    <row r="571" spans="1:33" ht="13.5" customHeight="1" x14ac:dyDescent="0.3">
      <c r="A571" s="21"/>
      <c r="B571" s="22"/>
      <c r="C571" s="23"/>
      <c r="D571" s="21"/>
      <c r="E571" s="23"/>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row>
    <row r="572" spans="1:33" ht="13.5" customHeight="1" x14ac:dyDescent="0.3">
      <c r="A572" s="21"/>
      <c r="B572" s="22"/>
      <c r="C572" s="23"/>
      <c r="D572" s="21"/>
      <c r="E572" s="23"/>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row>
    <row r="573" spans="1:33" ht="13.5" customHeight="1" x14ac:dyDescent="0.3">
      <c r="A573" s="21"/>
      <c r="B573" s="22"/>
      <c r="C573" s="23"/>
      <c r="D573" s="21"/>
      <c r="E573" s="23"/>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row>
    <row r="574" spans="1:33" ht="13.5" customHeight="1" x14ac:dyDescent="0.3">
      <c r="A574" s="21"/>
      <c r="B574" s="22"/>
      <c r="C574" s="23"/>
      <c r="D574" s="21"/>
      <c r="E574" s="23"/>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row>
    <row r="575" spans="1:33" ht="13.5" customHeight="1" x14ac:dyDescent="0.3">
      <c r="A575" s="21"/>
      <c r="B575" s="22"/>
      <c r="C575" s="23"/>
      <c r="D575" s="21"/>
      <c r="E575" s="23"/>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row>
    <row r="576" spans="1:33" ht="13.5" customHeight="1" x14ac:dyDescent="0.3">
      <c r="A576" s="21"/>
      <c r="B576" s="22"/>
      <c r="C576" s="23"/>
      <c r="D576" s="21"/>
      <c r="E576" s="23"/>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row>
    <row r="577" spans="1:33" ht="13.5" customHeight="1" x14ac:dyDescent="0.3">
      <c r="A577" s="21"/>
      <c r="B577" s="22"/>
      <c r="C577" s="23"/>
      <c r="D577" s="21"/>
      <c r="E577" s="23"/>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row>
    <row r="578" spans="1:33" ht="13.5" customHeight="1" x14ac:dyDescent="0.3">
      <c r="A578" s="21"/>
      <c r="B578" s="22"/>
      <c r="C578" s="23"/>
      <c r="D578" s="21"/>
      <c r="E578" s="23"/>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row>
    <row r="579" spans="1:33" ht="13.5" customHeight="1" x14ac:dyDescent="0.3">
      <c r="A579" s="21"/>
      <c r="B579" s="22"/>
      <c r="C579" s="23"/>
      <c r="D579" s="21"/>
      <c r="E579" s="23"/>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row>
    <row r="580" spans="1:33" ht="13.5" customHeight="1" x14ac:dyDescent="0.3">
      <c r="A580" s="21"/>
      <c r="B580" s="22"/>
      <c r="C580" s="23"/>
      <c r="D580" s="21"/>
      <c r="E580" s="23"/>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row>
    <row r="581" spans="1:33" ht="13.5" customHeight="1" x14ac:dyDescent="0.3">
      <c r="A581" s="21"/>
      <c r="B581" s="22"/>
      <c r="C581" s="23"/>
      <c r="D581" s="21"/>
      <c r="E581" s="23"/>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row>
    <row r="582" spans="1:33" ht="13.5" customHeight="1" x14ac:dyDescent="0.3">
      <c r="A582" s="21"/>
      <c r="B582" s="22"/>
      <c r="C582" s="23"/>
      <c r="D582" s="21"/>
      <c r="E582" s="23"/>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row>
    <row r="583" spans="1:33" ht="13.5" customHeight="1" x14ac:dyDescent="0.3">
      <c r="A583" s="21"/>
      <c r="B583" s="22"/>
      <c r="C583" s="23"/>
      <c r="D583" s="21"/>
      <c r="E583" s="23"/>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row>
    <row r="584" spans="1:33" ht="13.5" customHeight="1" x14ac:dyDescent="0.3">
      <c r="A584" s="21"/>
      <c r="B584" s="22"/>
      <c r="C584" s="23"/>
      <c r="D584" s="21"/>
      <c r="E584" s="23"/>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row>
    <row r="585" spans="1:33" ht="13.5" customHeight="1" x14ac:dyDescent="0.3">
      <c r="A585" s="21"/>
      <c r="B585" s="22"/>
      <c r="C585" s="23"/>
      <c r="D585" s="21"/>
      <c r="E585" s="23"/>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row>
    <row r="586" spans="1:33" ht="13.5" customHeight="1" x14ac:dyDescent="0.3">
      <c r="A586" s="21"/>
      <c r="B586" s="22"/>
      <c r="C586" s="23"/>
      <c r="D586" s="21"/>
      <c r="E586" s="23"/>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row>
    <row r="587" spans="1:33" ht="13.5" customHeight="1" x14ac:dyDescent="0.3">
      <c r="A587" s="21"/>
      <c r="B587" s="22"/>
      <c r="C587" s="23"/>
      <c r="D587" s="21"/>
      <c r="E587" s="23"/>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row>
    <row r="588" spans="1:33" ht="13.5" customHeight="1" x14ac:dyDescent="0.3">
      <c r="A588" s="21"/>
      <c r="B588" s="22"/>
      <c r="C588" s="23"/>
      <c r="D588" s="21"/>
      <c r="E588" s="23"/>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row>
    <row r="589" spans="1:33" ht="13.5" customHeight="1" x14ac:dyDescent="0.3">
      <c r="A589" s="21"/>
      <c r="B589" s="22"/>
      <c r="C589" s="23"/>
      <c r="D589" s="21"/>
      <c r="E589" s="23"/>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row>
    <row r="590" spans="1:33" ht="13.5" customHeight="1" x14ac:dyDescent="0.3">
      <c r="A590" s="21"/>
      <c r="B590" s="22"/>
      <c r="C590" s="23"/>
      <c r="D590" s="21"/>
      <c r="E590" s="23"/>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row>
    <row r="591" spans="1:33" ht="13.5" customHeight="1" x14ac:dyDescent="0.3">
      <c r="A591" s="21"/>
      <c r="B591" s="22"/>
      <c r="C591" s="23"/>
      <c r="D591" s="21"/>
      <c r="E591" s="23"/>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row>
    <row r="592" spans="1:33" ht="13.5" customHeight="1" x14ac:dyDescent="0.3">
      <c r="A592" s="21"/>
      <c r="B592" s="22"/>
      <c r="C592" s="23"/>
      <c r="D592" s="21"/>
      <c r="E592" s="23"/>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row>
    <row r="593" spans="1:33" ht="13.5" customHeight="1" x14ac:dyDescent="0.3">
      <c r="A593" s="21"/>
      <c r="B593" s="22"/>
      <c r="C593" s="23"/>
      <c r="D593" s="21"/>
      <c r="E593" s="23"/>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row>
    <row r="594" spans="1:33" ht="13.5" customHeight="1" x14ac:dyDescent="0.3">
      <c r="A594" s="21"/>
      <c r="B594" s="22"/>
      <c r="C594" s="23"/>
      <c r="D594" s="21"/>
      <c r="E594" s="23"/>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row>
    <row r="595" spans="1:33" ht="13.5" customHeight="1" x14ac:dyDescent="0.3">
      <c r="A595" s="21"/>
      <c r="B595" s="22"/>
      <c r="C595" s="23"/>
      <c r="D595" s="21"/>
      <c r="E595" s="23"/>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row>
    <row r="596" spans="1:33" ht="13.5" customHeight="1" x14ac:dyDescent="0.3">
      <c r="A596" s="21"/>
      <c r="B596" s="22"/>
      <c r="C596" s="23"/>
      <c r="D596" s="21"/>
      <c r="E596" s="23"/>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row>
    <row r="597" spans="1:33" ht="13.5" customHeight="1" x14ac:dyDescent="0.3">
      <c r="A597" s="21"/>
      <c r="B597" s="22"/>
      <c r="C597" s="23"/>
      <c r="D597" s="21"/>
      <c r="E597" s="23"/>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row>
    <row r="598" spans="1:33" ht="13.5" customHeight="1" x14ac:dyDescent="0.3">
      <c r="A598" s="21"/>
      <c r="B598" s="22"/>
      <c r="C598" s="23"/>
      <c r="D598" s="21"/>
      <c r="E598" s="23"/>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row>
    <row r="599" spans="1:33" ht="13.5" customHeight="1" x14ac:dyDescent="0.3">
      <c r="A599" s="21"/>
      <c r="B599" s="22"/>
      <c r="C599" s="23"/>
      <c r="D599" s="21"/>
      <c r="E599" s="23"/>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row>
    <row r="600" spans="1:33" ht="13.5" customHeight="1" x14ac:dyDescent="0.3">
      <c r="A600" s="21"/>
      <c r="B600" s="22"/>
      <c r="C600" s="23"/>
      <c r="D600" s="21"/>
      <c r="E600" s="23"/>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row>
    <row r="601" spans="1:33" ht="13.5" customHeight="1" x14ac:dyDescent="0.3">
      <c r="A601" s="21"/>
      <c r="B601" s="22"/>
      <c r="C601" s="23"/>
      <c r="D601" s="21"/>
      <c r="E601" s="23"/>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row>
    <row r="602" spans="1:33" ht="13.5" customHeight="1" x14ac:dyDescent="0.3">
      <c r="A602" s="21"/>
      <c r="B602" s="22"/>
      <c r="C602" s="23"/>
      <c r="D602" s="21"/>
      <c r="E602" s="23"/>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row>
    <row r="603" spans="1:33" ht="13.5" customHeight="1" x14ac:dyDescent="0.3">
      <c r="A603" s="21"/>
      <c r="B603" s="22"/>
      <c r="C603" s="23"/>
      <c r="D603" s="21"/>
      <c r="E603" s="23"/>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row>
    <row r="604" spans="1:33" ht="13.5" customHeight="1" x14ac:dyDescent="0.3">
      <c r="A604" s="21"/>
      <c r="B604" s="22"/>
      <c r="C604" s="23"/>
      <c r="D604" s="21"/>
      <c r="E604" s="23"/>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row>
    <row r="605" spans="1:33" ht="13.5" customHeight="1" x14ac:dyDescent="0.3">
      <c r="A605" s="21"/>
      <c r="B605" s="22"/>
      <c r="C605" s="23"/>
      <c r="D605" s="21"/>
      <c r="E605" s="23"/>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row>
    <row r="606" spans="1:33" ht="13.5" customHeight="1" x14ac:dyDescent="0.3">
      <c r="A606" s="21"/>
      <c r="B606" s="22"/>
      <c r="C606" s="23"/>
      <c r="D606" s="21"/>
      <c r="E606" s="23"/>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row>
    <row r="607" spans="1:33" ht="13.5" customHeight="1" x14ac:dyDescent="0.3">
      <c r="A607" s="21"/>
      <c r="B607" s="22"/>
      <c r="C607" s="23"/>
      <c r="D607" s="21"/>
      <c r="E607" s="23"/>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row>
    <row r="608" spans="1:33" ht="13.5" customHeight="1" x14ac:dyDescent="0.3">
      <c r="A608" s="21"/>
      <c r="B608" s="22"/>
      <c r="C608" s="23"/>
      <c r="D608" s="21"/>
      <c r="E608" s="23"/>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row>
    <row r="609" spans="1:33" ht="13.5" customHeight="1" x14ac:dyDescent="0.3">
      <c r="A609" s="21"/>
      <c r="B609" s="22"/>
      <c r="C609" s="23"/>
      <c r="D609" s="21"/>
      <c r="E609" s="23"/>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row>
    <row r="610" spans="1:33" ht="13.5" customHeight="1" x14ac:dyDescent="0.3">
      <c r="A610" s="21"/>
      <c r="B610" s="22"/>
      <c r="C610" s="23"/>
      <c r="D610" s="21"/>
      <c r="E610" s="23"/>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row>
    <row r="611" spans="1:33" ht="13.5" customHeight="1" x14ac:dyDescent="0.3">
      <c r="A611" s="21"/>
      <c r="B611" s="22"/>
      <c r="C611" s="23"/>
      <c r="D611" s="21"/>
      <c r="E611" s="23"/>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row>
    <row r="612" spans="1:33" ht="13.5" customHeight="1" x14ac:dyDescent="0.3">
      <c r="A612" s="21"/>
      <c r="B612" s="22"/>
      <c r="C612" s="23"/>
      <c r="D612" s="21"/>
      <c r="E612" s="23"/>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row>
    <row r="613" spans="1:33" ht="13.5" customHeight="1" x14ac:dyDescent="0.3">
      <c r="A613" s="21"/>
      <c r="B613" s="22"/>
      <c r="C613" s="23"/>
      <c r="D613" s="21"/>
      <c r="E613" s="23"/>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row>
    <row r="614" spans="1:33" ht="13.5" customHeight="1" x14ac:dyDescent="0.3">
      <c r="A614" s="21"/>
      <c r="B614" s="22"/>
      <c r="C614" s="23"/>
      <c r="D614" s="21"/>
      <c r="E614" s="23"/>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row>
    <row r="615" spans="1:33" ht="13.5" customHeight="1" x14ac:dyDescent="0.3">
      <c r="A615" s="21"/>
      <c r="B615" s="22"/>
      <c r="C615" s="23"/>
      <c r="D615" s="21"/>
      <c r="E615" s="23"/>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row>
    <row r="616" spans="1:33" ht="13.5" customHeight="1" x14ac:dyDescent="0.3">
      <c r="A616" s="21"/>
      <c r="B616" s="22"/>
      <c r="C616" s="23"/>
      <c r="D616" s="21"/>
      <c r="E616" s="23"/>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row>
    <row r="617" spans="1:33" ht="13.5" customHeight="1" x14ac:dyDescent="0.3">
      <c r="A617" s="21"/>
      <c r="B617" s="22"/>
      <c r="C617" s="23"/>
      <c r="D617" s="21"/>
      <c r="E617" s="23"/>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row>
    <row r="618" spans="1:33" ht="13.5" customHeight="1" x14ac:dyDescent="0.3">
      <c r="A618" s="21"/>
      <c r="B618" s="22"/>
      <c r="C618" s="23"/>
      <c r="D618" s="21"/>
      <c r="E618" s="23"/>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row>
    <row r="619" spans="1:33" ht="13.5" customHeight="1" x14ac:dyDescent="0.3">
      <c r="A619" s="21"/>
      <c r="B619" s="22"/>
      <c r="C619" s="23"/>
      <c r="D619" s="21"/>
      <c r="E619" s="23"/>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row>
    <row r="620" spans="1:33" ht="13.5" customHeight="1" x14ac:dyDescent="0.3">
      <c r="A620" s="21"/>
      <c r="B620" s="22"/>
      <c r="C620" s="23"/>
      <c r="D620" s="21"/>
      <c r="E620" s="23"/>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row>
    <row r="621" spans="1:33" ht="13.5" customHeight="1" x14ac:dyDescent="0.3">
      <c r="A621" s="21"/>
      <c r="B621" s="22"/>
      <c r="C621" s="23"/>
      <c r="D621" s="21"/>
      <c r="E621" s="23"/>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row>
    <row r="622" spans="1:33" ht="13.5" customHeight="1" x14ac:dyDescent="0.3">
      <c r="A622" s="21"/>
      <c r="B622" s="22"/>
      <c r="C622" s="23"/>
      <c r="D622" s="21"/>
      <c r="E622" s="23"/>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row>
    <row r="623" spans="1:33" ht="13.5" customHeight="1" x14ac:dyDescent="0.3">
      <c r="A623" s="21"/>
      <c r="B623" s="22"/>
      <c r="C623" s="23"/>
      <c r="D623" s="21"/>
      <c r="E623" s="23"/>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row>
    <row r="624" spans="1:33" ht="13.5" customHeight="1" x14ac:dyDescent="0.3">
      <c r="A624" s="21"/>
      <c r="B624" s="22"/>
      <c r="C624" s="23"/>
      <c r="D624" s="21"/>
      <c r="E624" s="23"/>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row>
    <row r="625" spans="1:33" ht="13.5" customHeight="1" x14ac:dyDescent="0.3">
      <c r="A625" s="21"/>
      <c r="B625" s="22"/>
      <c r="C625" s="23"/>
      <c r="D625" s="21"/>
      <c r="E625" s="23"/>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row>
    <row r="626" spans="1:33" ht="13.5" customHeight="1" x14ac:dyDescent="0.3">
      <c r="A626" s="21"/>
      <c r="B626" s="22"/>
      <c r="C626" s="23"/>
      <c r="D626" s="21"/>
      <c r="E626" s="23"/>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row>
    <row r="627" spans="1:33" ht="13.5" customHeight="1" x14ac:dyDescent="0.3">
      <c r="A627" s="21"/>
      <c r="B627" s="22"/>
      <c r="C627" s="23"/>
      <c r="D627" s="21"/>
      <c r="E627" s="23"/>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row>
    <row r="628" spans="1:33" ht="13.5" customHeight="1" x14ac:dyDescent="0.3">
      <c r="A628" s="21"/>
      <c r="B628" s="22"/>
      <c r="C628" s="23"/>
      <c r="D628" s="21"/>
      <c r="E628" s="23"/>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row>
    <row r="629" spans="1:33" ht="13.5" customHeight="1" x14ac:dyDescent="0.3">
      <c r="A629" s="21"/>
      <c r="B629" s="22"/>
      <c r="C629" s="23"/>
      <c r="D629" s="21"/>
      <c r="E629" s="23"/>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row>
    <row r="630" spans="1:33" ht="13.5" customHeight="1" x14ac:dyDescent="0.3">
      <c r="A630" s="21"/>
      <c r="B630" s="22"/>
      <c r="C630" s="23"/>
      <c r="D630" s="21"/>
      <c r="E630" s="23"/>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row>
    <row r="631" spans="1:33" ht="13.5" customHeight="1" x14ac:dyDescent="0.3">
      <c r="A631" s="21"/>
      <c r="B631" s="22"/>
      <c r="C631" s="23"/>
      <c r="D631" s="21"/>
      <c r="E631" s="23"/>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row>
    <row r="632" spans="1:33" ht="13.5" customHeight="1" x14ac:dyDescent="0.3">
      <c r="A632" s="21"/>
      <c r="B632" s="22"/>
      <c r="C632" s="23"/>
      <c r="D632" s="21"/>
      <c r="E632" s="23"/>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row>
    <row r="633" spans="1:33" ht="13.5" customHeight="1" x14ac:dyDescent="0.3">
      <c r="A633" s="21"/>
      <c r="B633" s="22"/>
      <c r="C633" s="23"/>
      <c r="D633" s="21"/>
      <c r="E633" s="23"/>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row>
    <row r="634" spans="1:33" ht="13.5" customHeight="1" x14ac:dyDescent="0.3">
      <c r="A634" s="21"/>
      <c r="B634" s="22"/>
      <c r="C634" s="23"/>
      <c r="D634" s="21"/>
      <c r="E634" s="23"/>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row>
    <row r="635" spans="1:33" ht="13.5" customHeight="1" x14ac:dyDescent="0.3">
      <c r="A635" s="21"/>
      <c r="B635" s="22"/>
      <c r="C635" s="23"/>
      <c r="D635" s="21"/>
      <c r="E635" s="23"/>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row>
    <row r="636" spans="1:33" ht="13.5" customHeight="1" x14ac:dyDescent="0.3">
      <c r="A636" s="21"/>
      <c r="B636" s="22"/>
      <c r="C636" s="23"/>
      <c r="D636" s="21"/>
      <c r="E636" s="23"/>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row>
    <row r="637" spans="1:33" ht="13.5" customHeight="1" x14ac:dyDescent="0.3">
      <c r="A637" s="21"/>
      <c r="B637" s="22"/>
      <c r="C637" s="23"/>
      <c r="D637" s="21"/>
      <c r="E637" s="23"/>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row>
    <row r="638" spans="1:33" ht="13.5" customHeight="1" x14ac:dyDescent="0.3">
      <c r="A638" s="21"/>
      <c r="B638" s="22"/>
      <c r="C638" s="23"/>
      <c r="D638" s="21"/>
      <c r="E638" s="23"/>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row>
    <row r="639" spans="1:33" ht="13.5" customHeight="1" x14ac:dyDescent="0.3">
      <c r="A639" s="21"/>
      <c r="B639" s="22"/>
      <c r="C639" s="23"/>
      <c r="D639" s="21"/>
      <c r="E639" s="23"/>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row>
    <row r="640" spans="1:33" ht="13.5" customHeight="1" x14ac:dyDescent="0.3">
      <c r="A640" s="21"/>
      <c r="B640" s="22"/>
      <c r="C640" s="23"/>
      <c r="D640" s="21"/>
      <c r="E640" s="23"/>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row>
    <row r="641" spans="1:33" ht="13.5" customHeight="1" x14ac:dyDescent="0.3">
      <c r="A641" s="21"/>
      <c r="B641" s="22"/>
      <c r="C641" s="23"/>
      <c r="D641" s="21"/>
      <c r="E641" s="23"/>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row>
    <row r="642" spans="1:33" ht="13.5" customHeight="1" x14ac:dyDescent="0.3">
      <c r="A642" s="21"/>
      <c r="B642" s="22"/>
      <c r="C642" s="23"/>
      <c r="D642" s="21"/>
      <c r="E642" s="23"/>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row>
    <row r="643" spans="1:33" ht="13.5" customHeight="1" x14ac:dyDescent="0.3">
      <c r="A643" s="21"/>
      <c r="B643" s="22"/>
      <c r="C643" s="23"/>
      <c r="D643" s="21"/>
      <c r="E643" s="23"/>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row>
    <row r="644" spans="1:33" ht="13.5" customHeight="1" x14ac:dyDescent="0.3">
      <c r="A644" s="21"/>
      <c r="B644" s="22"/>
      <c r="C644" s="23"/>
      <c r="D644" s="21"/>
      <c r="E644" s="23"/>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row>
    <row r="645" spans="1:33" ht="13.5" customHeight="1" x14ac:dyDescent="0.3">
      <c r="A645" s="21"/>
      <c r="B645" s="22"/>
      <c r="C645" s="23"/>
      <c r="D645" s="21"/>
      <c r="E645" s="23"/>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row>
    <row r="646" spans="1:33" ht="13.5" customHeight="1" x14ac:dyDescent="0.3">
      <c r="A646" s="21"/>
      <c r="B646" s="22"/>
      <c r="C646" s="23"/>
      <c r="D646" s="21"/>
      <c r="E646" s="23"/>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row>
    <row r="647" spans="1:33" ht="13.5" customHeight="1" x14ac:dyDescent="0.3">
      <c r="A647" s="21"/>
      <c r="B647" s="22"/>
      <c r="C647" s="23"/>
      <c r="D647" s="21"/>
      <c r="E647" s="23"/>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row>
    <row r="648" spans="1:33" ht="13.5" customHeight="1" x14ac:dyDescent="0.3">
      <c r="A648" s="21"/>
      <c r="B648" s="22"/>
      <c r="C648" s="23"/>
      <c r="D648" s="21"/>
      <c r="E648" s="23"/>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row>
    <row r="649" spans="1:33" ht="13.5" customHeight="1" x14ac:dyDescent="0.3">
      <c r="A649" s="21"/>
      <c r="B649" s="22"/>
      <c r="C649" s="23"/>
      <c r="D649" s="21"/>
      <c r="E649" s="23"/>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row>
    <row r="650" spans="1:33" ht="13.5" customHeight="1" x14ac:dyDescent="0.3">
      <c r="A650" s="21"/>
      <c r="B650" s="22"/>
      <c r="C650" s="23"/>
      <c r="D650" s="21"/>
      <c r="E650" s="23"/>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row>
    <row r="651" spans="1:33" ht="13.5" customHeight="1" x14ac:dyDescent="0.3">
      <c r="A651" s="21"/>
      <c r="B651" s="22"/>
      <c r="C651" s="23"/>
      <c r="D651" s="21"/>
      <c r="E651" s="23"/>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row>
    <row r="652" spans="1:33" ht="13.5" customHeight="1" x14ac:dyDescent="0.3">
      <c r="A652" s="21"/>
      <c r="B652" s="22"/>
      <c r="C652" s="23"/>
      <c r="D652" s="21"/>
      <c r="E652" s="23"/>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row>
    <row r="653" spans="1:33" ht="13.5" customHeight="1" x14ac:dyDescent="0.3">
      <c r="A653" s="21"/>
      <c r="B653" s="22"/>
      <c r="C653" s="23"/>
      <c r="D653" s="21"/>
      <c r="E653" s="23"/>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row>
    <row r="654" spans="1:33" ht="13.5" customHeight="1" x14ac:dyDescent="0.3">
      <c r="A654" s="21"/>
      <c r="B654" s="22"/>
      <c r="C654" s="23"/>
      <c r="D654" s="21"/>
      <c r="E654" s="23"/>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row>
    <row r="655" spans="1:33" ht="13.5" customHeight="1" x14ac:dyDescent="0.3">
      <c r="A655" s="21"/>
      <c r="B655" s="22"/>
      <c r="C655" s="23"/>
      <c r="D655" s="21"/>
      <c r="E655" s="23"/>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row>
    <row r="656" spans="1:33" ht="13.5" customHeight="1" x14ac:dyDescent="0.3">
      <c r="A656" s="21"/>
      <c r="B656" s="22"/>
      <c r="C656" s="23"/>
      <c r="D656" s="21"/>
      <c r="E656" s="23"/>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row>
    <row r="657" spans="1:33" ht="13.5" customHeight="1" x14ac:dyDescent="0.3">
      <c r="A657" s="21"/>
      <c r="B657" s="22"/>
      <c r="C657" s="23"/>
      <c r="D657" s="21"/>
      <c r="E657" s="23"/>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row>
    <row r="658" spans="1:33" ht="13.5" customHeight="1" x14ac:dyDescent="0.3">
      <c r="A658" s="21"/>
      <c r="B658" s="22"/>
      <c r="C658" s="23"/>
      <c r="D658" s="21"/>
      <c r="E658" s="23"/>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row>
    <row r="659" spans="1:33" ht="13.5" customHeight="1" x14ac:dyDescent="0.3">
      <c r="A659" s="21"/>
      <c r="B659" s="22"/>
      <c r="C659" s="23"/>
      <c r="D659" s="21"/>
      <c r="E659" s="23"/>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row>
    <row r="660" spans="1:33" ht="13.5" customHeight="1" x14ac:dyDescent="0.3">
      <c r="A660" s="21"/>
      <c r="B660" s="22"/>
      <c r="C660" s="23"/>
      <c r="D660" s="21"/>
      <c r="E660" s="23"/>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row>
    <row r="661" spans="1:33" ht="13.5" customHeight="1" x14ac:dyDescent="0.3">
      <c r="A661" s="21"/>
      <c r="B661" s="22"/>
      <c r="C661" s="23"/>
      <c r="D661" s="21"/>
      <c r="E661" s="23"/>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row>
    <row r="662" spans="1:33" ht="13.5" customHeight="1" x14ac:dyDescent="0.3">
      <c r="A662" s="21"/>
      <c r="B662" s="22"/>
      <c r="C662" s="23"/>
      <c r="D662" s="21"/>
      <c r="E662" s="23"/>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row>
    <row r="663" spans="1:33" ht="13.5" customHeight="1" x14ac:dyDescent="0.3">
      <c r="A663" s="21"/>
      <c r="B663" s="22"/>
      <c r="C663" s="23"/>
      <c r="D663" s="21"/>
      <c r="E663" s="23"/>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row>
    <row r="664" spans="1:33" ht="13.5" customHeight="1" x14ac:dyDescent="0.3">
      <c r="A664" s="21"/>
      <c r="B664" s="22"/>
      <c r="C664" s="23"/>
      <c r="D664" s="21"/>
      <c r="E664" s="23"/>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row>
    <row r="665" spans="1:33" ht="13.5" customHeight="1" x14ac:dyDescent="0.3">
      <c r="A665" s="21"/>
      <c r="B665" s="22"/>
      <c r="C665" s="23"/>
      <c r="D665" s="21"/>
      <c r="E665" s="23"/>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row>
    <row r="666" spans="1:33" ht="13.5" customHeight="1" x14ac:dyDescent="0.3">
      <c r="A666" s="21"/>
      <c r="B666" s="22"/>
      <c r="C666" s="23"/>
      <c r="D666" s="21"/>
      <c r="E666" s="23"/>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row>
    <row r="667" spans="1:33" ht="13.5" customHeight="1" x14ac:dyDescent="0.3">
      <c r="A667" s="21"/>
      <c r="B667" s="22"/>
      <c r="C667" s="23"/>
      <c r="D667" s="21"/>
      <c r="E667" s="23"/>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row>
    <row r="668" spans="1:33" ht="13.5" customHeight="1" x14ac:dyDescent="0.3">
      <c r="A668" s="21"/>
      <c r="B668" s="22"/>
      <c r="C668" s="23"/>
      <c r="D668" s="21"/>
      <c r="E668" s="23"/>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row>
    <row r="669" spans="1:33" ht="13.5" customHeight="1" x14ac:dyDescent="0.3">
      <c r="A669" s="21"/>
      <c r="B669" s="22"/>
      <c r="C669" s="23"/>
      <c r="D669" s="21"/>
      <c r="E669" s="23"/>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row>
    <row r="670" spans="1:33" ht="13.5" customHeight="1" x14ac:dyDescent="0.3">
      <c r="A670" s="21"/>
      <c r="B670" s="22"/>
      <c r="C670" s="23"/>
      <c r="D670" s="21"/>
      <c r="E670" s="23"/>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row>
    <row r="671" spans="1:33" ht="13.5" customHeight="1" x14ac:dyDescent="0.3">
      <c r="A671" s="21"/>
      <c r="B671" s="22"/>
      <c r="C671" s="23"/>
      <c r="D671" s="21"/>
      <c r="E671" s="23"/>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row>
    <row r="672" spans="1:33" ht="13.5" customHeight="1" x14ac:dyDescent="0.3">
      <c r="A672" s="21"/>
      <c r="B672" s="22"/>
      <c r="C672" s="23"/>
      <c r="D672" s="21"/>
      <c r="E672" s="23"/>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row>
    <row r="673" spans="1:33" ht="13.5" customHeight="1" x14ac:dyDescent="0.3">
      <c r="A673" s="21"/>
      <c r="B673" s="22"/>
      <c r="C673" s="23"/>
      <c r="D673" s="21"/>
      <c r="E673" s="23"/>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row>
    <row r="674" spans="1:33" ht="13.5" customHeight="1" x14ac:dyDescent="0.3">
      <c r="A674" s="21"/>
      <c r="B674" s="22"/>
      <c r="C674" s="23"/>
      <c r="D674" s="21"/>
      <c r="E674" s="23"/>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row>
    <row r="675" spans="1:33" ht="13.5" customHeight="1" x14ac:dyDescent="0.3">
      <c r="A675" s="21"/>
      <c r="B675" s="22"/>
      <c r="C675" s="23"/>
      <c r="D675" s="21"/>
      <c r="E675" s="23"/>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row>
    <row r="676" spans="1:33" ht="13.5" customHeight="1" x14ac:dyDescent="0.3">
      <c r="A676" s="21"/>
      <c r="B676" s="22"/>
      <c r="C676" s="23"/>
      <c r="D676" s="21"/>
      <c r="E676" s="23"/>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row>
    <row r="677" spans="1:33" ht="13.5" customHeight="1" x14ac:dyDescent="0.3">
      <c r="A677" s="21"/>
      <c r="B677" s="22"/>
      <c r="C677" s="23"/>
      <c r="D677" s="21"/>
      <c r="E677" s="23"/>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row>
    <row r="678" spans="1:33" ht="13.5" customHeight="1" x14ac:dyDescent="0.3">
      <c r="A678" s="21"/>
      <c r="B678" s="22"/>
      <c r="C678" s="23"/>
      <c r="D678" s="21"/>
      <c r="E678" s="23"/>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row>
    <row r="679" spans="1:33" ht="13.5" customHeight="1" x14ac:dyDescent="0.3">
      <c r="A679" s="21"/>
      <c r="B679" s="22"/>
      <c r="C679" s="23"/>
      <c r="D679" s="21"/>
      <c r="E679" s="23"/>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row>
    <row r="680" spans="1:33" ht="13.5" customHeight="1" x14ac:dyDescent="0.3">
      <c r="A680" s="21"/>
      <c r="B680" s="22"/>
      <c r="C680" s="23"/>
      <c r="D680" s="21"/>
      <c r="E680" s="23"/>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row>
    <row r="681" spans="1:33" ht="13.5" customHeight="1" x14ac:dyDescent="0.3">
      <c r="A681" s="21"/>
      <c r="B681" s="22"/>
      <c r="C681" s="23"/>
      <c r="D681" s="21"/>
      <c r="E681" s="23"/>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row>
    <row r="682" spans="1:33" ht="13.5" customHeight="1" x14ac:dyDescent="0.3">
      <c r="A682" s="21"/>
      <c r="B682" s="22"/>
      <c r="C682" s="23"/>
      <c r="D682" s="21"/>
      <c r="E682" s="23"/>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row>
    <row r="683" spans="1:33" ht="13.5" customHeight="1" x14ac:dyDescent="0.3">
      <c r="A683" s="21"/>
      <c r="B683" s="22"/>
      <c r="C683" s="23"/>
      <c r="D683" s="21"/>
      <c r="E683" s="23"/>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row>
    <row r="684" spans="1:33" ht="13.5" customHeight="1" x14ac:dyDescent="0.3">
      <c r="A684" s="21"/>
      <c r="B684" s="22"/>
      <c r="C684" s="23"/>
      <c r="D684" s="21"/>
      <c r="E684" s="23"/>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row>
    <row r="685" spans="1:33" ht="13.5" customHeight="1" x14ac:dyDescent="0.3">
      <c r="A685" s="21"/>
      <c r="B685" s="22"/>
      <c r="C685" s="23"/>
      <c r="D685" s="21"/>
      <c r="E685" s="23"/>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row>
    <row r="686" spans="1:33" ht="13.5" customHeight="1" x14ac:dyDescent="0.3">
      <c r="A686" s="21"/>
      <c r="B686" s="22"/>
      <c r="C686" s="23"/>
      <c r="D686" s="21"/>
      <c r="E686" s="23"/>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row>
    <row r="687" spans="1:33" ht="13.5" customHeight="1" x14ac:dyDescent="0.3">
      <c r="A687" s="21"/>
      <c r="B687" s="22"/>
      <c r="C687" s="23"/>
      <c r="D687" s="21"/>
      <c r="E687" s="23"/>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row>
    <row r="688" spans="1:33" ht="13.5" customHeight="1" x14ac:dyDescent="0.3">
      <c r="A688" s="21"/>
      <c r="B688" s="22"/>
      <c r="C688" s="23"/>
      <c r="D688" s="21"/>
      <c r="E688" s="23"/>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row>
    <row r="689" spans="1:33" ht="13.5" customHeight="1" x14ac:dyDescent="0.3">
      <c r="A689" s="21"/>
      <c r="B689" s="22"/>
      <c r="C689" s="23"/>
      <c r="D689" s="21"/>
      <c r="E689" s="23"/>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row>
    <row r="690" spans="1:33" ht="13.5" customHeight="1" x14ac:dyDescent="0.3">
      <c r="A690" s="21"/>
      <c r="B690" s="22"/>
      <c r="C690" s="23"/>
      <c r="D690" s="21"/>
      <c r="E690" s="23"/>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row>
    <row r="691" spans="1:33" ht="13.5" customHeight="1" x14ac:dyDescent="0.3">
      <c r="A691" s="21"/>
      <c r="B691" s="22"/>
      <c r="C691" s="23"/>
      <c r="D691" s="21"/>
      <c r="E691" s="23"/>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row>
    <row r="692" spans="1:33" ht="13.5" customHeight="1" x14ac:dyDescent="0.3">
      <c r="A692" s="21"/>
      <c r="B692" s="22"/>
      <c r="C692" s="23"/>
      <c r="D692" s="21"/>
      <c r="E692" s="23"/>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row>
    <row r="693" spans="1:33" ht="13.5" customHeight="1" x14ac:dyDescent="0.3">
      <c r="A693" s="21"/>
      <c r="B693" s="22"/>
      <c r="C693" s="23"/>
      <c r="D693" s="21"/>
      <c r="E693" s="23"/>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row>
    <row r="694" spans="1:33" ht="13.5" customHeight="1" x14ac:dyDescent="0.3">
      <c r="A694" s="21"/>
      <c r="B694" s="22"/>
      <c r="C694" s="23"/>
      <c r="D694" s="21"/>
      <c r="E694" s="23"/>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row>
    <row r="695" spans="1:33" ht="13.5" customHeight="1" x14ac:dyDescent="0.3">
      <c r="A695" s="21"/>
      <c r="B695" s="22"/>
      <c r="C695" s="23"/>
      <c r="D695" s="21"/>
      <c r="E695" s="23"/>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row>
    <row r="696" spans="1:33" ht="13.5" customHeight="1" x14ac:dyDescent="0.3">
      <c r="A696" s="21"/>
      <c r="B696" s="22"/>
      <c r="C696" s="23"/>
      <c r="D696" s="21"/>
      <c r="E696" s="23"/>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row>
    <row r="697" spans="1:33" ht="13.5" customHeight="1" x14ac:dyDescent="0.3">
      <c r="A697" s="21"/>
      <c r="B697" s="22"/>
      <c r="C697" s="23"/>
      <c r="D697" s="21"/>
      <c r="E697" s="23"/>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row>
    <row r="698" spans="1:33" ht="13.5" customHeight="1" x14ac:dyDescent="0.3">
      <c r="A698" s="21"/>
      <c r="B698" s="22"/>
      <c r="C698" s="23"/>
      <c r="D698" s="21"/>
      <c r="E698" s="23"/>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row>
    <row r="699" spans="1:33" ht="13.5" customHeight="1" x14ac:dyDescent="0.3">
      <c r="A699" s="21"/>
      <c r="B699" s="22"/>
      <c r="C699" s="23"/>
      <c r="D699" s="21"/>
      <c r="E699" s="23"/>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row>
    <row r="700" spans="1:33" ht="13.5" customHeight="1" x14ac:dyDescent="0.3">
      <c r="A700" s="21"/>
      <c r="B700" s="22"/>
      <c r="C700" s="23"/>
      <c r="D700" s="21"/>
      <c r="E700" s="23"/>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row>
    <row r="701" spans="1:33" ht="13.5" customHeight="1" x14ac:dyDescent="0.3">
      <c r="A701" s="21"/>
      <c r="B701" s="22"/>
      <c r="C701" s="23"/>
      <c r="D701" s="21"/>
      <c r="E701" s="23"/>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row>
    <row r="702" spans="1:33" ht="13.5" customHeight="1" x14ac:dyDescent="0.3">
      <c r="A702" s="21"/>
      <c r="B702" s="22"/>
      <c r="C702" s="23"/>
      <c r="D702" s="21"/>
      <c r="E702" s="23"/>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row>
    <row r="703" spans="1:33" ht="13.5" customHeight="1" x14ac:dyDescent="0.3">
      <c r="A703" s="21"/>
      <c r="B703" s="22"/>
      <c r="C703" s="23"/>
      <c r="D703" s="21"/>
      <c r="E703" s="23"/>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row>
    <row r="704" spans="1:33" ht="13.5" customHeight="1" x14ac:dyDescent="0.3">
      <c r="A704" s="21"/>
      <c r="B704" s="22"/>
      <c r="C704" s="23"/>
      <c r="D704" s="21"/>
      <c r="E704" s="23"/>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row>
    <row r="705" spans="1:33" ht="13.5" customHeight="1" x14ac:dyDescent="0.3">
      <c r="A705" s="21"/>
      <c r="B705" s="22"/>
      <c r="C705" s="23"/>
      <c r="D705" s="21"/>
      <c r="E705" s="23"/>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row>
    <row r="706" spans="1:33" ht="13.5" customHeight="1" x14ac:dyDescent="0.3">
      <c r="A706" s="21"/>
      <c r="B706" s="22"/>
      <c r="C706" s="23"/>
      <c r="D706" s="21"/>
      <c r="E706" s="23"/>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row>
    <row r="707" spans="1:33" ht="13.5" customHeight="1" x14ac:dyDescent="0.3">
      <c r="A707" s="21"/>
      <c r="B707" s="22"/>
      <c r="C707" s="23"/>
      <c r="D707" s="21"/>
      <c r="E707" s="23"/>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row>
    <row r="708" spans="1:33" ht="13.5" customHeight="1" x14ac:dyDescent="0.3">
      <c r="A708" s="21"/>
      <c r="B708" s="22"/>
      <c r="C708" s="23"/>
      <c r="D708" s="21"/>
      <c r="E708" s="23"/>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row>
    <row r="709" spans="1:33" ht="13.5" customHeight="1" x14ac:dyDescent="0.3">
      <c r="A709" s="21"/>
      <c r="B709" s="22"/>
      <c r="C709" s="23"/>
      <c r="D709" s="21"/>
      <c r="E709" s="23"/>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row>
    <row r="710" spans="1:33" ht="13.5" customHeight="1" x14ac:dyDescent="0.3">
      <c r="A710" s="21"/>
      <c r="B710" s="22"/>
      <c r="C710" s="23"/>
      <c r="D710" s="21"/>
      <c r="E710" s="23"/>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row>
    <row r="711" spans="1:33" ht="13.5" customHeight="1" x14ac:dyDescent="0.3">
      <c r="A711" s="21"/>
      <c r="B711" s="22"/>
      <c r="C711" s="23"/>
      <c r="D711" s="21"/>
      <c r="E711" s="23"/>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row>
    <row r="712" spans="1:33" ht="13.5" customHeight="1" x14ac:dyDescent="0.3">
      <c r="A712" s="21"/>
      <c r="B712" s="22"/>
      <c r="C712" s="23"/>
      <c r="D712" s="21"/>
      <c r="E712" s="23"/>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row>
    <row r="713" spans="1:33" ht="13.5" customHeight="1" x14ac:dyDescent="0.3">
      <c r="A713" s="21"/>
      <c r="B713" s="22"/>
      <c r="C713" s="23"/>
      <c r="D713" s="21"/>
      <c r="E713" s="23"/>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row>
    <row r="714" spans="1:33" ht="13.5" customHeight="1" x14ac:dyDescent="0.3">
      <c r="A714" s="21"/>
      <c r="B714" s="22"/>
      <c r="C714" s="23"/>
      <c r="D714" s="21"/>
      <c r="E714" s="23"/>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row>
    <row r="715" spans="1:33" ht="13.5" customHeight="1" x14ac:dyDescent="0.3">
      <c r="A715" s="21"/>
      <c r="B715" s="22"/>
      <c r="C715" s="23"/>
      <c r="D715" s="21"/>
      <c r="E715" s="23"/>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row>
    <row r="716" spans="1:33" ht="13.5" customHeight="1" x14ac:dyDescent="0.3">
      <c r="A716" s="21"/>
      <c r="B716" s="22"/>
      <c r="C716" s="23"/>
      <c r="D716" s="21"/>
      <c r="E716" s="23"/>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row>
    <row r="717" spans="1:33" ht="13.5" customHeight="1" x14ac:dyDescent="0.3">
      <c r="A717" s="21"/>
      <c r="B717" s="22"/>
      <c r="C717" s="23"/>
      <c r="D717" s="21"/>
      <c r="E717" s="23"/>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row>
    <row r="718" spans="1:33" ht="13.5" customHeight="1" x14ac:dyDescent="0.3">
      <c r="A718" s="21"/>
      <c r="B718" s="22"/>
      <c r="C718" s="23"/>
      <c r="D718" s="21"/>
      <c r="E718" s="23"/>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row>
    <row r="719" spans="1:33" ht="13.5" customHeight="1" x14ac:dyDescent="0.3">
      <c r="A719" s="21"/>
      <c r="B719" s="22"/>
      <c r="C719" s="23"/>
      <c r="D719" s="21"/>
      <c r="E719" s="23"/>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row>
    <row r="720" spans="1:33" ht="13.5" customHeight="1" x14ac:dyDescent="0.3">
      <c r="A720" s="21"/>
      <c r="B720" s="22"/>
      <c r="C720" s="23"/>
      <c r="D720" s="21"/>
      <c r="E720" s="23"/>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row>
    <row r="721" spans="1:33" ht="13.5" customHeight="1" x14ac:dyDescent="0.3">
      <c r="A721" s="21"/>
      <c r="B721" s="22"/>
      <c r="C721" s="23"/>
      <c r="D721" s="21"/>
      <c r="E721" s="23"/>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row>
    <row r="722" spans="1:33" ht="13.5" customHeight="1" x14ac:dyDescent="0.3">
      <c r="A722" s="21"/>
      <c r="B722" s="22"/>
      <c r="C722" s="23"/>
      <c r="D722" s="21"/>
      <c r="E722" s="23"/>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row>
    <row r="723" spans="1:33" ht="13.5" customHeight="1" x14ac:dyDescent="0.3">
      <c r="A723" s="21"/>
      <c r="B723" s="22"/>
      <c r="C723" s="23"/>
      <c r="D723" s="21"/>
      <c r="E723" s="23"/>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row>
    <row r="724" spans="1:33" ht="13.5" customHeight="1" x14ac:dyDescent="0.3">
      <c r="A724" s="21"/>
      <c r="B724" s="22"/>
      <c r="C724" s="23"/>
      <c r="D724" s="21"/>
      <c r="E724" s="23"/>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row>
    <row r="725" spans="1:33" ht="13.5" customHeight="1" x14ac:dyDescent="0.3">
      <c r="A725" s="21"/>
      <c r="B725" s="22"/>
      <c r="C725" s="23"/>
      <c r="D725" s="21"/>
      <c r="E725" s="23"/>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row>
    <row r="726" spans="1:33" ht="13.5" customHeight="1" x14ac:dyDescent="0.3">
      <c r="A726" s="21"/>
      <c r="B726" s="22"/>
      <c r="C726" s="23"/>
      <c r="D726" s="21"/>
      <c r="E726" s="23"/>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row>
    <row r="727" spans="1:33" ht="13.5" customHeight="1" x14ac:dyDescent="0.3">
      <c r="A727" s="21"/>
      <c r="B727" s="22"/>
      <c r="C727" s="23"/>
      <c r="D727" s="21"/>
      <c r="E727" s="23"/>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row>
    <row r="728" spans="1:33" ht="13.5" customHeight="1" x14ac:dyDescent="0.3">
      <c r="A728" s="21"/>
      <c r="B728" s="22"/>
      <c r="C728" s="23"/>
      <c r="D728" s="21"/>
      <c r="E728" s="23"/>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row>
    <row r="729" spans="1:33" ht="13.5" customHeight="1" x14ac:dyDescent="0.3">
      <c r="A729" s="21"/>
      <c r="B729" s="22"/>
      <c r="C729" s="23"/>
      <c r="D729" s="21"/>
      <c r="E729" s="23"/>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row>
    <row r="730" spans="1:33" ht="13.5" customHeight="1" x14ac:dyDescent="0.3">
      <c r="A730" s="21"/>
      <c r="B730" s="22"/>
      <c r="C730" s="23"/>
      <c r="D730" s="21"/>
      <c r="E730" s="23"/>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row>
    <row r="731" spans="1:33" ht="13.5" customHeight="1" x14ac:dyDescent="0.3">
      <c r="A731" s="21"/>
      <c r="B731" s="22"/>
      <c r="C731" s="23"/>
      <c r="D731" s="21"/>
      <c r="E731" s="23"/>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row>
    <row r="732" spans="1:33" ht="13.5" customHeight="1" x14ac:dyDescent="0.3">
      <c r="A732" s="21"/>
      <c r="B732" s="22"/>
      <c r="C732" s="23"/>
      <c r="D732" s="21"/>
      <c r="E732" s="23"/>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row>
    <row r="733" spans="1:33" ht="13.5" customHeight="1" x14ac:dyDescent="0.3">
      <c r="A733" s="21"/>
      <c r="B733" s="22"/>
      <c r="C733" s="23"/>
      <c r="D733" s="21"/>
      <c r="E733" s="23"/>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row>
    <row r="734" spans="1:33" ht="13.5" customHeight="1" x14ac:dyDescent="0.3">
      <c r="A734" s="21"/>
      <c r="B734" s="22"/>
      <c r="C734" s="23"/>
      <c r="D734" s="21"/>
      <c r="E734" s="23"/>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row>
    <row r="735" spans="1:33" ht="13.5" customHeight="1" x14ac:dyDescent="0.3">
      <c r="A735" s="21"/>
      <c r="B735" s="22"/>
      <c r="C735" s="23"/>
      <c r="D735" s="21"/>
      <c r="E735" s="23"/>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row>
    <row r="736" spans="1:33" ht="13.5" customHeight="1" x14ac:dyDescent="0.3">
      <c r="A736" s="21"/>
      <c r="B736" s="22"/>
      <c r="C736" s="23"/>
      <c r="D736" s="21"/>
      <c r="E736" s="23"/>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row>
    <row r="737" spans="1:33" ht="13.5" customHeight="1" x14ac:dyDescent="0.3">
      <c r="A737" s="21"/>
      <c r="B737" s="22"/>
      <c r="C737" s="23"/>
      <c r="D737" s="21"/>
      <c r="E737" s="23"/>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row>
    <row r="738" spans="1:33" ht="13.5" customHeight="1" x14ac:dyDescent="0.3">
      <c r="A738" s="21"/>
      <c r="B738" s="22"/>
      <c r="C738" s="23"/>
      <c r="D738" s="21"/>
      <c r="E738" s="23"/>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row>
    <row r="739" spans="1:33" ht="13.5" customHeight="1" x14ac:dyDescent="0.3">
      <c r="A739" s="21"/>
      <c r="B739" s="22"/>
      <c r="C739" s="23"/>
      <c r="D739" s="21"/>
      <c r="E739" s="23"/>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row>
    <row r="740" spans="1:33" ht="13.5" customHeight="1" x14ac:dyDescent="0.3">
      <c r="A740" s="21"/>
      <c r="B740" s="22"/>
      <c r="C740" s="23"/>
      <c r="D740" s="21"/>
      <c r="E740" s="23"/>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row>
    <row r="741" spans="1:33" ht="13.5" customHeight="1" x14ac:dyDescent="0.3">
      <c r="A741" s="21"/>
      <c r="B741" s="22"/>
      <c r="C741" s="23"/>
      <c r="D741" s="21"/>
      <c r="E741" s="23"/>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row>
    <row r="742" spans="1:33" ht="13.5" customHeight="1" x14ac:dyDescent="0.3">
      <c r="A742" s="21"/>
      <c r="B742" s="22"/>
      <c r="C742" s="23"/>
      <c r="D742" s="21"/>
      <c r="E742" s="23"/>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row>
    <row r="743" spans="1:33" ht="13.5" customHeight="1" x14ac:dyDescent="0.3">
      <c r="A743" s="21"/>
      <c r="B743" s="22"/>
      <c r="C743" s="23"/>
      <c r="D743" s="21"/>
      <c r="E743" s="23"/>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row>
    <row r="744" spans="1:33" ht="13.5" customHeight="1" x14ac:dyDescent="0.3">
      <c r="A744" s="21"/>
      <c r="B744" s="22"/>
      <c r="C744" s="23"/>
      <c r="D744" s="21"/>
      <c r="E744" s="23"/>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row>
    <row r="745" spans="1:33" ht="13.5" customHeight="1" x14ac:dyDescent="0.3">
      <c r="A745" s="21"/>
      <c r="B745" s="22"/>
      <c r="C745" s="23"/>
      <c r="D745" s="21"/>
      <c r="E745" s="23"/>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row>
    <row r="746" spans="1:33" ht="13.5" customHeight="1" x14ac:dyDescent="0.3">
      <c r="A746" s="21"/>
      <c r="B746" s="22"/>
      <c r="C746" s="23"/>
      <c r="D746" s="21"/>
      <c r="E746" s="23"/>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row>
    <row r="747" spans="1:33" ht="13.5" customHeight="1" x14ac:dyDescent="0.3">
      <c r="A747" s="21"/>
      <c r="B747" s="22"/>
      <c r="C747" s="23"/>
      <c r="D747" s="21"/>
      <c r="E747" s="23"/>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row>
    <row r="748" spans="1:33" ht="13.5" customHeight="1" x14ac:dyDescent="0.3">
      <c r="A748" s="21"/>
      <c r="B748" s="22"/>
      <c r="C748" s="23"/>
      <c r="D748" s="21"/>
      <c r="E748" s="23"/>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row>
    <row r="749" spans="1:33" ht="13.5" customHeight="1" x14ac:dyDescent="0.3">
      <c r="A749" s="21"/>
      <c r="B749" s="22"/>
      <c r="C749" s="23"/>
      <c r="D749" s="21"/>
      <c r="E749" s="23"/>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row>
    <row r="750" spans="1:33" ht="13.5" customHeight="1" x14ac:dyDescent="0.3">
      <c r="A750" s="21"/>
      <c r="B750" s="22"/>
      <c r="C750" s="23"/>
      <c r="D750" s="21"/>
      <c r="E750" s="23"/>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row>
    <row r="751" spans="1:33" ht="13.5" customHeight="1" x14ac:dyDescent="0.3">
      <c r="A751" s="21"/>
      <c r="B751" s="22"/>
      <c r="C751" s="23"/>
      <c r="D751" s="21"/>
      <c r="E751" s="23"/>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row>
    <row r="752" spans="1:33" ht="13.5" customHeight="1" x14ac:dyDescent="0.3">
      <c r="A752" s="21"/>
      <c r="B752" s="22"/>
      <c r="C752" s="23"/>
      <c r="D752" s="21"/>
      <c r="E752" s="23"/>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row>
    <row r="753" spans="1:33" ht="13.5" customHeight="1" x14ac:dyDescent="0.3">
      <c r="A753" s="21"/>
      <c r="B753" s="22"/>
      <c r="C753" s="23"/>
      <c r="D753" s="21"/>
      <c r="E753" s="23"/>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row>
    <row r="754" spans="1:33" ht="13.5" customHeight="1" x14ac:dyDescent="0.3">
      <c r="A754" s="21"/>
      <c r="B754" s="22"/>
      <c r="C754" s="23"/>
      <c r="D754" s="21"/>
      <c r="E754" s="23"/>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row>
    <row r="755" spans="1:33" ht="13.5" customHeight="1" x14ac:dyDescent="0.3">
      <c r="A755" s="21"/>
      <c r="B755" s="22"/>
      <c r="C755" s="23"/>
      <c r="D755" s="21"/>
      <c r="E755" s="23"/>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row>
    <row r="756" spans="1:33" ht="13.5" customHeight="1" x14ac:dyDescent="0.3">
      <c r="A756" s="21"/>
      <c r="B756" s="22"/>
      <c r="C756" s="23"/>
      <c r="D756" s="21"/>
      <c r="E756" s="23"/>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row>
    <row r="757" spans="1:33" ht="13.5" customHeight="1" x14ac:dyDescent="0.3">
      <c r="A757" s="21"/>
      <c r="B757" s="22"/>
      <c r="C757" s="23"/>
      <c r="D757" s="21"/>
      <c r="E757" s="23"/>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row>
    <row r="758" spans="1:33" ht="13.5" customHeight="1" x14ac:dyDescent="0.3">
      <c r="A758" s="21"/>
      <c r="B758" s="22"/>
      <c r="C758" s="23"/>
      <c r="D758" s="21"/>
      <c r="E758" s="23"/>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row>
    <row r="759" spans="1:33" ht="13.5" customHeight="1" x14ac:dyDescent="0.3">
      <c r="A759" s="21"/>
      <c r="B759" s="22"/>
      <c r="C759" s="23"/>
      <c r="D759" s="21"/>
      <c r="E759" s="23"/>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row>
    <row r="760" spans="1:33" ht="13.5" customHeight="1" x14ac:dyDescent="0.3">
      <c r="A760" s="21"/>
      <c r="B760" s="22"/>
      <c r="C760" s="23"/>
      <c r="D760" s="21"/>
      <c r="E760" s="23"/>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row>
    <row r="761" spans="1:33" ht="13.5" customHeight="1" x14ac:dyDescent="0.3">
      <c r="A761" s="21"/>
      <c r="B761" s="22"/>
      <c r="C761" s="23"/>
      <c r="D761" s="21"/>
      <c r="E761" s="23"/>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row>
    <row r="762" spans="1:33" ht="13.5" customHeight="1" x14ac:dyDescent="0.3">
      <c r="A762" s="21"/>
      <c r="B762" s="22"/>
      <c r="C762" s="23"/>
      <c r="D762" s="21"/>
      <c r="E762" s="23"/>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row>
    <row r="763" spans="1:33" ht="13.5" customHeight="1" x14ac:dyDescent="0.3">
      <c r="A763" s="21"/>
      <c r="B763" s="22"/>
      <c r="C763" s="23"/>
      <c r="D763" s="21"/>
      <c r="E763" s="23"/>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row>
    <row r="764" spans="1:33" ht="13.5" customHeight="1" x14ac:dyDescent="0.3">
      <c r="A764" s="21"/>
      <c r="B764" s="22"/>
      <c r="C764" s="23"/>
      <c r="D764" s="21"/>
      <c r="E764" s="23"/>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row>
    <row r="765" spans="1:33" ht="13.5" customHeight="1" x14ac:dyDescent="0.3">
      <c r="A765" s="21"/>
      <c r="B765" s="22"/>
      <c r="C765" s="23"/>
      <c r="D765" s="21"/>
      <c r="E765" s="23"/>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row>
    <row r="766" spans="1:33" ht="13.5" customHeight="1" x14ac:dyDescent="0.3">
      <c r="A766" s="21"/>
      <c r="B766" s="22"/>
      <c r="C766" s="23"/>
      <c r="D766" s="21"/>
      <c r="E766" s="23"/>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row>
    <row r="767" spans="1:33" ht="13.5" customHeight="1" x14ac:dyDescent="0.3">
      <c r="A767" s="21"/>
      <c r="B767" s="22"/>
      <c r="C767" s="23"/>
      <c r="D767" s="21"/>
      <c r="E767" s="23"/>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row>
    <row r="768" spans="1:33" ht="13.5" customHeight="1" x14ac:dyDescent="0.3">
      <c r="A768" s="21"/>
      <c r="B768" s="22"/>
      <c r="C768" s="23"/>
      <c r="D768" s="21"/>
      <c r="E768" s="23"/>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row>
    <row r="769" spans="1:33" ht="13.5" customHeight="1" x14ac:dyDescent="0.3">
      <c r="A769" s="21"/>
      <c r="B769" s="22"/>
      <c r="C769" s="23"/>
      <c r="D769" s="21"/>
      <c r="E769" s="23"/>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row>
    <row r="770" spans="1:33" ht="13.5" customHeight="1" x14ac:dyDescent="0.3">
      <c r="A770" s="21"/>
      <c r="B770" s="22"/>
      <c r="C770" s="23"/>
      <c r="D770" s="21"/>
      <c r="E770" s="23"/>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row>
    <row r="771" spans="1:33" ht="13.5" customHeight="1" x14ac:dyDescent="0.3">
      <c r="A771" s="21"/>
      <c r="B771" s="22"/>
      <c r="C771" s="23"/>
      <c r="D771" s="21"/>
      <c r="E771" s="23"/>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row>
    <row r="772" spans="1:33" ht="13.5" customHeight="1" x14ac:dyDescent="0.3">
      <c r="A772" s="21"/>
      <c r="B772" s="22"/>
      <c r="C772" s="23"/>
      <c r="D772" s="21"/>
      <c r="E772" s="23"/>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row>
    <row r="773" spans="1:33" ht="13.5" customHeight="1" x14ac:dyDescent="0.3">
      <c r="A773" s="21"/>
      <c r="B773" s="22"/>
      <c r="C773" s="23"/>
      <c r="D773" s="21"/>
      <c r="E773" s="23"/>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row>
    <row r="774" spans="1:33" ht="13.5" customHeight="1" x14ac:dyDescent="0.3">
      <c r="A774" s="21"/>
      <c r="B774" s="22"/>
      <c r="C774" s="23"/>
      <c r="D774" s="21"/>
      <c r="E774" s="23"/>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row>
    <row r="775" spans="1:33" ht="13.5" customHeight="1" x14ac:dyDescent="0.3">
      <c r="A775" s="21"/>
      <c r="B775" s="22"/>
      <c r="C775" s="23"/>
      <c r="D775" s="21"/>
      <c r="E775" s="23"/>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row>
    <row r="776" spans="1:33" ht="13.5" customHeight="1" x14ac:dyDescent="0.3">
      <c r="A776" s="21"/>
      <c r="B776" s="22"/>
      <c r="C776" s="23"/>
      <c r="D776" s="21"/>
      <c r="E776" s="23"/>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row>
    <row r="777" spans="1:33" ht="13.5" customHeight="1" x14ac:dyDescent="0.3">
      <c r="A777" s="21"/>
      <c r="B777" s="22"/>
      <c r="C777" s="23"/>
      <c r="D777" s="21"/>
      <c r="E777" s="23"/>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row>
    <row r="778" spans="1:33" ht="13.5" customHeight="1" x14ac:dyDescent="0.3">
      <c r="A778" s="21"/>
      <c r="B778" s="22"/>
      <c r="C778" s="23"/>
      <c r="D778" s="21"/>
      <c r="E778" s="23"/>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row>
    <row r="779" spans="1:33" ht="13.5" customHeight="1" x14ac:dyDescent="0.3">
      <c r="A779" s="21"/>
      <c r="B779" s="22"/>
      <c r="C779" s="23"/>
      <c r="D779" s="21"/>
      <c r="E779" s="23"/>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row>
    <row r="780" spans="1:33" ht="13.5" customHeight="1" x14ac:dyDescent="0.3">
      <c r="A780" s="21"/>
      <c r="B780" s="22"/>
      <c r="C780" s="23"/>
      <c r="D780" s="21"/>
      <c r="E780" s="23"/>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row>
    <row r="781" spans="1:33" ht="13.5" customHeight="1" x14ac:dyDescent="0.3">
      <c r="A781" s="21"/>
      <c r="B781" s="22"/>
      <c r="C781" s="23"/>
      <c r="D781" s="21"/>
      <c r="E781" s="23"/>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row>
    <row r="782" spans="1:33" ht="13.5" customHeight="1" x14ac:dyDescent="0.3">
      <c r="A782" s="21"/>
      <c r="B782" s="22"/>
      <c r="C782" s="23"/>
      <c r="D782" s="21"/>
      <c r="E782" s="23"/>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row>
    <row r="783" spans="1:33" ht="13.5" customHeight="1" x14ac:dyDescent="0.3">
      <c r="A783" s="21"/>
      <c r="B783" s="22"/>
      <c r="C783" s="23"/>
      <c r="D783" s="21"/>
      <c r="E783" s="23"/>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row>
    <row r="784" spans="1:33" ht="13.5" customHeight="1" x14ac:dyDescent="0.3">
      <c r="A784" s="21"/>
      <c r="B784" s="22"/>
      <c r="C784" s="23"/>
      <c r="D784" s="21"/>
      <c r="E784" s="23"/>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row>
    <row r="785" spans="1:33" ht="13.5" customHeight="1" x14ac:dyDescent="0.3">
      <c r="A785" s="21"/>
      <c r="B785" s="22"/>
      <c r="C785" s="23"/>
      <c r="D785" s="21"/>
      <c r="E785" s="23"/>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row>
    <row r="786" spans="1:33" ht="13.5" customHeight="1" x14ac:dyDescent="0.3">
      <c r="A786" s="21"/>
      <c r="B786" s="22"/>
      <c r="C786" s="23"/>
      <c r="D786" s="21"/>
      <c r="E786" s="23"/>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row>
    <row r="787" spans="1:33" ht="13.5" customHeight="1" x14ac:dyDescent="0.3">
      <c r="A787" s="21"/>
      <c r="B787" s="22"/>
      <c r="C787" s="23"/>
      <c r="D787" s="21"/>
      <c r="E787" s="23"/>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row>
    <row r="788" spans="1:33" ht="13.5" customHeight="1" x14ac:dyDescent="0.3">
      <c r="A788" s="21"/>
      <c r="B788" s="22"/>
      <c r="C788" s="23"/>
      <c r="D788" s="21"/>
      <c r="E788" s="23"/>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row>
    <row r="789" spans="1:33" ht="13.5" customHeight="1" x14ac:dyDescent="0.3">
      <c r="A789" s="21"/>
      <c r="B789" s="22"/>
      <c r="C789" s="23"/>
      <c r="D789" s="21"/>
      <c r="E789" s="23"/>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row>
    <row r="790" spans="1:33" ht="13.5" customHeight="1" x14ac:dyDescent="0.3">
      <c r="A790" s="21"/>
      <c r="B790" s="22"/>
      <c r="C790" s="23"/>
      <c r="D790" s="21"/>
      <c r="E790" s="23"/>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row>
    <row r="791" spans="1:33" ht="13.5" customHeight="1" x14ac:dyDescent="0.3">
      <c r="A791" s="21"/>
      <c r="B791" s="22"/>
      <c r="C791" s="23"/>
      <c r="D791" s="21"/>
      <c r="E791" s="23"/>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row>
    <row r="792" spans="1:33" ht="13.5" customHeight="1" x14ac:dyDescent="0.3">
      <c r="A792" s="21"/>
      <c r="B792" s="22"/>
      <c r="C792" s="23"/>
      <c r="D792" s="21"/>
      <c r="E792" s="23"/>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row>
    <row r="793" spans="1:33" ht="13.5" customHeight="1" x14ac:dyDescent="0.3">
      <c r="A793" s="21"/>
      <c r="B793" s="22"/>
      <c r="C793" s="23"/>
      <c r="D793" s="21"/>
      <c r="E793" s="23"/>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row>
    <row r="794" spans="1:33" ht="13.5" customHeight="1" x14ac:dyDescent="0.3">
      <c r="A794" s="21"/>
      <c r="B794" s="22"/>
      <c r="C794" s="23"/>
      <c r="D794" s="21"/>
      <c r="E794" s="23"/>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row>
    <row r="795" spans="1:33" ht="13.5" customHeight="1" x14ac:dyDescent="0.3">
      <c r="A795" s="21"/>
      <c r="B795" s="22"/>
      <c r="C795" s="23"/>
      <c r="D795" s="21"/>
      <c r="E795" s="23"/>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row>
    <row r="796" spans="1:33" ht="13.5" customHeight="1" x14ac:dyDescent="0.3">
      <c r="A796" s="21"/>
      <c r="B796" s="22"/>
      <c r="C796" s="23"/>
      <c r="D796" s="21"/>
      <c r="E796" s="23"/>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row>
    <row r="797" spans="1:33" ht="13.5" customHeight="1" x14ac:dyDescent="0.3">
      <c r="A797" s="21"/>
      <c r="B797" s="22"/>
      <c r="C797" s="23"/>
      <c r="D797" s="21"/>
      <c r="E797" s="23"/>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row>
    <row r="798" spans="1:33" ht="13.5" customHeight="1" x14ac:dyDescent="0.3">
      <c r="A798" s="21"/>
      <c r="B798" s="22"/>
      <c r="C798" s="23"/>
      <c r="D798" s="21"/>
      <c r="E798" s="23"/>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row>
    <row r="799" spans="1:33" ht="13.5" customHeight="1" x14ac:dyDescent="0.3">
      <c r="A799" s="21"/>
      <c r="B799" s="22"/>
      <c r="C799" s="23"/>
      <c r="D799" s="21"/>
      <c r="E799" s="23"/>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row>
    <row r="800" spans="1:33" ht="13.5" customHeight="1" x14ac:dyDescent="0.3">
      <c r="A800" s="21"/>
      <c r="B800" s="22"/>
      <c r="C800" s="23"/>
      <c r="D800" s="21"/>
      <c r="E800" s="23"/>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row>
    <row r="801" spans="1:33" ht="13.5" customHeight="1" x14ac:dyDescent="0.3">
      <c r="A801" s="21"/>
      <c r="B801" s="22"/>
      <c r="C801" s="23"/>
      <c r="D801" s="21"/>
      <c r="E801" s="23"/>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row>
    <row r="802" spans="1:33" ht="13.5" customHeight="1" x14ac:dyDescent="0.3">
      <c r="A802" s="21"/>
      <c r="B802" s="22"/>
      <c r="C802" s="23"/>
      <c r="D802" s="21"/>
      <c r="E802" s="23"/>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row>
    <row r="803" spans="1:33" ht="13.5" customHeight="1" x14ac:dyDescent="0.3">
      <c r="A803" s="21"/>
      <c r="B803" s="22"/>
      <c r="C803" s="23"/>
      <c r="D803" s="21"/>
      <c r="E803" s="23"/>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row>
    <row r="804" spans="1:33" ht="13.5" customHeight="1" x14ac:dyDescent="0.3">
      <c r="A804" s="21"/>
      <c r="B804" s="22"/>
      <c r="C804" s="23"/>
      <c r="D804" s="21"/>
      <c r="E804" s="23"/>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row>
    <row r="805" spans="1:33" ht="13.5" customHeight="1" x14ac:dyDescent="0.3">
      <c r="A805" s="21"/>
      <c r="B805" s="22"/>
      <c r="C805" s="23"/>
      <c r="D805" s="21"/>
      <c r="E805" s="23"/>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row>
    <row r="806" spans="1:33" ht="13.5" customHeight="1" x14ac:dyDescent="0.3">
      <c r="A806" s="21"/>
      <c r="B806" s="22"/>
      <c r="C806" s="23"/>
      <c r="D806" s="21"/>
      <c r="E806" s="23"/>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row>
    <row r="807" spans="1:33" ht="13.5" customHeight="1" x14ac:dyDescent="0.3">
      <c r="A807" s="21"/>
      <c r="B807" s="22"/>
      <c r="C807" s="23"/>
      <c r="D807" s="21"/>
      <c r="E807" s="23"/>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row>
    <row r="808" spans="1:33" ht="13.5" customHeight="1" x14ac:dyDescent="0.3">
      <c r="A808" s="21"/>
      <c r="B808" s="22"/>
      <c r="C808" s="23"/>
      <c r="D808" s="21"/>
      <c r="E808" s="23"/>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row>
    <row r="809" spans="1:33" ht="13.5" customHeight="1" x14ac:dyDescent="0.3">
      <c r="A809" s="21"/>
      <c r="B809" s="22"/>
      <c r="C809" s="23"/>
      <c r="D809" s="21"/>
      <c r="E809" s="23"/>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row>
    <row r="810" spans="1:33" ht="13.5" customHeight="1" x14ac:dyDescent="0.3">
      <c r="A810" s="21"/>
      <c r="B810" s="22"/>
      <c r="C810" s="23"/>
      <c r="D810" s="21"/>
      <c r="E810" s="23"/>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row>
    <row r="811" spans="1:33" ht="13.5" customHeight="1" x14ac:dyDescent="0.3">
      <c r="A811" s="21"/>
      <c r="B811" s="22"/>
      <c r="C811" s="23"/>
      <c r="D811" s="21"/>
      <c r="E811" s="23"/>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row>
    <row r="812" spans="1:33" ht="13.5" customHeight="1" x14ac:dyDescent="0.3">
      <c r="A812" s="21"/>
      <c r="B812" s="22"/>
      <c r="C812" s="23"/>
      <c r="D812" s="21"/>
      <c r="E812" s="23"/>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row>
    <row r="813" spans="1:33" ht="13.5" customHeight="1" x14ac:dyDescent="0.3">
      <c r="A813" s="21"/>
      <c r="B813" s="22"/>
      <c r="C813" s="23"/>
      <c r="D813" s="21"/>
      <c r="E813" s="23"/>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row>
    <row r="814" spans="1:33" ht="13.5" customHeight="1" x14ac:dyDescent="0.3">
      <c r="A814" s="21"/>
      <c r="B814" s="22"/>
      <c r="C814" s="23"/>
      <c r="D814" s="21"/>
      <c r="E814" s="23"/>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row>
    <row r="815" spans="1:33" ht="13.5" customHeight="1" x14ac:dyDescent="0.3">
      <c r="A815" s="21"/>
      <c r="B815" s="22"/>
      <c r="C815" s="23"/>
      <c r="D815" s="21"/>
      <c r="E815" s="23"/>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row>
    <row r="816" spans="1:33" ht="13.5" customHeight="1" x14ac:dyDescent="0.3">
      <c r="A816" s="21"/>
      <c r="B816" s="22"/>
      <c r="C816" s="23"/>
      <c r="D816" s="21"/>
      <c r="E816" s="23"/>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row>
    <row r="817" spans="1:33" ht="13.5" customHeight="1" x14ac:dyDescent="0.3">
      <c r="A817" s="21"/>
      <c r="B817" s="22"/>
      <c r="C817" s="23"/>
      <c r="D817" s="21"/>
      <c r="E817" s="23"/>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row>
    <row r="818" spans="1:33" ht="13.5" customHeight="1" x14ac:dyDescent="0.3">
      <c r="A818" s="21"/>
      <c r="B818" s="22"/>
      <c r="C818" s="23"/>
      <c r="D818" s="21"/>
      <c r="E818" s="23"/>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row>
    <row r="819" spans="1:33" ht="13.5" customHeight="1" x14ac:dyDescent="0.3">
      <c r="A819" s="21"/>
      <c r="B819" s="22"/>
      <c r="C819" s="23"/>
      <c r="D819" s="21"/>
      <c r="E819" s="23"/>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row>
    <row r="820" spans="1:33" ht="13.5" customHeight="1" x14ac:dyDescent="0.3">
      <c r="A820" s="21"/>
      <c r="B820" s="22"/>
      <c r="C820" s="23"/>
      <c r="D820" s="21"/>
      <c r="E820" s="23"/>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row>
    <row r="821" spans="1:33" ht="13.5" customHeight="1" x14ac:dyDescent="0.3">
      <c r="A821" s="21"/>
      <c r="B821" s="22"/>
      <c r="C821" s="23"/>
      <c r="D821" s="21"/>
      <c r="E821" s="23"/>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row>
    <row r="822" spans="1:33" ht="13.5" customHeight="1" x14ac:dyDescent="0.3">
      <c r="A822" s="21"/>
      <c r="B822" s="22"/>
      <c r="C822" s="23"/>
      <c r="D822" s="21"/>
      <c r="E822" s="23"/>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row>
    <row r="823" spans="1:33" ht="13.5" customHeight="1" x14ac:dyDescent="0.3">
      <c r="A823" s="21"/>
      <c r="B823" s="22"/>
      <c r="C823" s="23"/>
      <c r="D823" s="21"/>
      <c r="E823" s="23"/>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row>
    <row r="824" spans="1:33" ht="13.5" customHeight="1" x14ac:dyDescent="0.3">
      <c r="A824" s="21"/>
      <c r="B824" s="22"/>
      <c r="C824" s="23"/>
      <c r="D824" s="21"/>
      <c r="E824" s="23"/>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row>
    <row r="825" spans="1:33" ht="13.5" customHeight="1" x14ac:dyDescent="0.3">
      <c r="A825" s="21"/>
      <c r="B825" s="22"/>
      <c r="C825" s="23"/>
      <c r="D825" s="21"/>
      <c r="E825" s="23"/>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row>
    <row r="826" spans="1:33" ht="13.5" customHeight="1" x14ac:dyDescent="0.3">
      <c r="A826" s="21"/>
      <c r="B826" s="22"/>
      <c r="C826" s="23"/>
      <c r="D826" s="21"/>
      <c r="E826" s="23"/>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row>
    <row r="827" spans="1:33" ht="13.5" customHeight="1" x14ac:dyDescent="0.3">
      <c r="A827" s="21"/>
      <c r="B827" s="22"/>
      <c r="C827" s="23"/>
      <c r="D827" s="21"/>
      <c r="E827" s="23"/>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row>
    <row r="828" spans="1:33" ht="13.5" customHeight="1" x14ac:dyDescent="0.3">
      <c r="A828" s="21"/>
      <c r="B828" s="22"/>
      <c r="C828" s="23"/>
      <c r="D828" s="21"/>
      <c r="E828" s="23"/>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row>
    <row r="829" spans="1:33" ht="13.5" customHeight="1" x14ac:dyDescent="0.3">
      <c r="A829" s="21"/>
      <c r="B829" s="22"/>
      <c r="C829" s="23"/>
      <c r="D829" s="21"/>
      <c r="E829" s="23"/>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row>
    <row r="830" spans="1:33" ht="13.5" customHeight="1" x14ac:dyDescent="0.3">
      <c r="A830" s="21"/>
      <c r="B830" s="22"/>
      <c r="C830" s="23"/>
      <c r="D830" s="21"/>
      <c r="E830" s="23"/>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row>
    <row r="831" spans="1:33" ht="13.5" customHeight="1" x14ac:dyDescent="0.3">
      <c r="A831" s="21"/>
      <c r="B831" s="22"/>
      <c r="C831" s="23"/>
      <c r="D831" s="21"/>
      <c r="E831" s="23"/>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row>
    <row r="832" spans="1:33" ht="13.5" customHeight="1" x14ac:dyDescent="0.3">
      <c r="A832" s="21"/>
      <c r="B832" s="22"/>
      <c r="C832" s="23"/>
      <c r="D832" s="21"/>
      <c r="E832" s="23"/>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row>
    <row r="833" spans="1:33" ht="13.5" customHeight="1" x14ac:dyDescent="0.3">
      <c r="A833" s="21"/>
      <c r="B833" s="22"/>
      <c r="C833" s="23"/>
      <c r="D833" s="21"/>
      <c r="E833" s="23"/>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row>
    <row r="834" spans="1:33" ht="13.5" customHeight="1" x14ac:dyDescent="0.3">
      <c r="A834" s="21"/>
      <c r="B834" s="22"/>
      <c r="C834" s="23"/>
      <c r="D834" s="21"/>
      <c r="E834" s="23"/>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row>
    <row r="835" spans="1:33" ht="13.5" customHeight="1" x14ac:dyDescent="0.3">
      <c r="A835" s="21"/>
      <c r="B835" s="22"/>
      <c r="C835" s="23"/>
      <c r="D835" s="21"/>
      <c r="E835" s="23"/>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row>
    <row r="836" spans="1:33" ht="13.5" customHeight="1" x14ac:dyDescent="0.3">
      <c r="A836" s="21"/>
      <c r="B836" s="22"/>
      <c r="C836" s="23"/>
      <c r="D836" s="21"/>
      <c r="E836" s="23"/>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row>
    <row r="837" spans="1:33" ht="13.5" customHeight="1" x14ac:dyDescent="0.3">
      <c r="A837" s="21"/>
      <c r="B837" s="22"/>
      <c r="C837" s="23"/>
      <c r="D837" s="21"/>
      <c r="E837" s="23"/>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row>
    <row r="838" spans="1:33" ht="13.5" customHeight="1" x14ac:dyDescent="0.3">
      <c r="A838" s="21"/>
      <c r="B838" s="22"/>
      <c r="C838" s="23"/>
      <c r="D838" s="21"/>
      <c r="E838" s="23"/>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row>
    <row r="839" spans="1:33" ht="13.5" customHeight="1" x14ac:dyDescent="0.3">
      <c r="A839" s="21"/>
      <c r="B839" s="22"/>
      <c r="C839" s="23"/>
      <c r="D839" s="21"/>
      <c r="E839" s="23"/>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row>
    <row r="840" spans="1:33" ht="13.5" customHeight="1" x14ac:dyDescent="0.3">
      <c r="A840" s="21"/>
      <c r="B840" s="22"/>
      <c r="C840" s="23"/>
      <c r="D840" s="21"/>
      <c r="E840" s="23"/>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row>
    <row r="841" spans="1:33" ht="13.5" customHeight="1" x14ac:dyDescent="0.3">
      <c r="A841" s="21"/>
      <c r="B841" s="22"/>
      <c r="C841" s="23"/>
      <c r="D841" s="21"/>
      <c r="E841" s="23"/>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row>
    <row r="842" spans="1:33" ht="13.5" customHeight="1" x14ac:dyDescent="0.3">
      <c r="A842" s="21"/>
      <c r="B842" s="22"/>
      <c r="C842" s="23"/>
      <c r="D842" s="21"/>
      <c r="E842" s="23"/>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row>
    <row r="843" spans="1:33" ht="13.5" customHeight="1" x14ac:dyDescent="0.3">
      <c r="A843" s="21"/>
      <c r="B843" s="22"/>
      <c r="C843" s="23"/>
      <c r="D843" s="21"/>
      <c r="E843" s="23"/>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row>
    <row r="844" spans="1:33" ht="13.5" customHeight="1" x14ac:dyDescent="0.3">
      <c r="A844" s="21"/>
      <c r="B844" s="22"/>
      <c r="C844" s="23"/>
      <c r="D844" s="21"/>
      <c r="E844" s="23"/>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row>
    <row r="845" spans="1:33" ht="13.5" customHeight="1" x14ac:dyDescent="0.3">
      <c r="A845" s="21"/>
      <c r="B845" s="22"/>
      <c r="C845" s="23"/>
      <c r="D845" s="21"/>
      <c r="E845" s="23"/>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row>
    <row r="846" spans="1:33" ht="13.5" customHeight="1" x14ac:dyDescent="0.3">
      <c r="A846" s="21"/>
      <c r="B846" s="22"/>
      <c r="C846" s="23"/>
      <c r="D846" s="21"/>
      <c r="E846" s="23"/>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row>
    <row r="847" spans="1:33" ht="13.5" customHeight="1" x14ac:dyDescent="0.3">
      <c r="A847" s="21"/>
      <c r="B847" s="22"/>
      <c r="C847" s="23"/>
      <c r="D847" s="21"/>
      <c r="E847" s="23"/>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row>
    <row r="848" spans="1:33" ht="13.5" customHeight="1" x14ac:dyDescent="0.3">
      <c r="A848" s="21"/>
      <c r="B848" s="22"/>
      <c r="C848" s="23"/>
      <c r="D848" s="21"/>
      <c r="E848" s="23"/>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row>
    <row r="849" spans="1:33" ht="13.5" customHeight="1" x14ac:dyDescent="0.3">
      <c r="A849" s="21"/>
      <c r="B849" s="22"/>
      <c r="C849" s="23"/>
      <c r="D849" s="21"/>
      <c r="E849" s="23"/>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row>
    <row r="850" spans="1:33" ht="13.5" customHeight="1" x14ac:dyDescent="0.3">
      <c r="A850" s="21"/>
      <c r="B850" s="22"/>
      <c r="C850" s="23"/>
      <c r="D850" s="21"/>
      <c r="E850" s="23"/>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row>
    <row r="851" spans="1:33" ht="13.5" customHeight="1" x14ac:dyDescent="0.3">
      <c r="A851" s="21"/>
      <c r="B851" s="22"/>
      <c r="C851" s="23"/>
      <c r="D851" s="21"/>
      <c r="E851" s="23"/>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row>
    <row r="852" spans="1:33" ht="13.5" customHeight="1" x14ac:dyDescent="0.3">
      <c r="A852" s="21"/>
      <c r="B852" s="22"/>
      <c r="C852" s="23"/>
      <c r="D852" s="21"/>
      <c r="E852" s="23"/>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row>
    <row r="853" spans="1:33" ht="13.5" customHeight="1" x14ac:dyDescent="0.3">
      <c r="A853" s="21"/>
      <c r="B853" s="22"/>
      <c r="C853" s="23"/>
      <c r="D853" s="21"/>
      <c r="E853" s="23"/>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row>
    <row r="854" spans="1:33" ht="13.5" customHeight="1" x14ac:dyDescent="0.3">
      <c r="A854" s="21"/>
      <c r="B854" s="22"/>
      <c r="C854" s="23"/>
      <c r="D854" s="21"/>
      <c r="E854" s="23"/>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row>
    <row r="855" spans="1:33" ht="13.5" customHeight="1" x14ac:dyDescent="0.3">
      <c r="A855" s="21"/>
      <c r="B855" s="22"/>
      <c r="C855" s="23"/>
      <c r="D855" s="21"/>
      <c r="E855" s="23"/>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row>
    <row r="856" spans="1:33" ht="13.5" customHeight="1" x14ac:dyDescent="0.3">
      <c r="A856" s="21"/>
      <c r="B856" s="22"/>
      <c r="C856" s="23"/>
      <c r="D856" s="21"/>
      <c r="E856" s="23"/>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row>
    <row r="857" spans="1:33" ht="13.5" customHeight="1" x14ac:dyDescent="0.3">
      <c r="A857" s="21"/>
      <c r="B857" s="22"/>
      <c r="C857" s="23"/>
      <c r="D857" s="21"/>
      <c r="E857" s="23"/>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row>
    <row r="858" spans="1:33" ht="13.5" customHeight="1" x14ac:dyDescent="0.3">
      <c r="A858" s="21"/>
      <c r="B858" s="22"/>
      <c r="C858" s="23"/>
      <c r="D858" s="21"/>
      <c r="E858" s="23"/>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row>
    <row r="859" spans="1:33" ht="13.5" customHeight="1" x14ac:dyDescent="0.3">
      <c r="A859" s="21"/>
      <c r="B859" s="22"/>
      <c r="C859" s="23"/>
      <c r="D859" s="21"/>
      <c r="E859" s="23"/>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row>
    <row r="860" spans="1:33" ht="13.5" customHeight="1" x14ac:dyDescent="0.3">
      <c r="A860" s="21"/>
      <c r="B860" s="22"/>
      <c r="C860" s="23"/>
      <c r="D860" s="21"/>
      <c r="E860" s="23"/>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row>
    <row r="861" spans="1:33" ht="13.5" customHeight="1" x14ac:dyDescent="0.3">
      <c r="A861" s="21"/>
      <c r="B861" s="22"/>
      <c r="C861" s="23"/>
      <c r="D861" s="21"/>
      <c r="E861" s="23"/>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row>
    <row r="862" spans="1:33" ht="13.5" customHeight="1" x14ac:dyDescent="0.3">
      <c r="A862" s="21"/>
      <c r="B862" s="22"/>
      <c r="C862" s="23"/>
      <c r="D862" s="21"/>
      <c r="E862" s="23"/>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row>
    <row r="863" spans="1:33" ht="13.5" customHeight="1" x14ac:dyDescent="0.3">
      <c r="A863" s="21"/>
      <c r="B863" s="22"/>
      <c r="C863" s="23"/>
      <c r="D863" s="21"/>
      <c r="E863" s="23"/>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row>
    <row r="864" spans="1:33" ht="13.5" customHeight="1" x14ac:dyDescent="0.3">
      <c r="A864" s="21"/>
      <c r="B864" s="22"/>
      <c r="C864" s="23"/>
      <c r="D864" s="21"/>
      <c r="E864" s="23"/>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row>
    <row r="865" spans="1:33" ht="13.5" customHeight="1" x14ac:dyDescent="0.3">
      <c r="A865" s="21"/>
      <c r="B865" s="22"/>
      <c r="C865" s="23"/>
      <c r="D865" s="21"/>
      <c r="E865" s="23"/>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row>
    <row r="866" spans="1:33" ht="13.5" customHeight="1" x14ac:dyDescent="0.3">
      <c r="A866" s="21"/>
      <c r="B866" s="22"/>
      <c r="C866" s="23"/>
      <c r="D866" s="21"/>
      <c r="E866" s="23"/>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row>
    <row r="867" spans="1:33" ht="13.5" customHeight="1" x14ac:dyDescent="0.3">
      <c r="A867" s="21"/>
      <c r="B867" s="22"/>
      <c r="C867" s="23"/>
      <c r="D867" s="21"/>
      <c r="E867" s="23"/>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row>
    <row r="868" spans="1:33" ht="13.5" customHeight="1" x14ac:dyDescent="0.3">
      <c r="A868" s="21"/>
      <c r="B868" s="22"/>
      <c r="C868" s="23"/>
      <c r="D868" s="21"/>
      <c r="E868" s="23"/>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row>
    <row r="869" spans="1:33" ht="13.5" customHeight="1" x14ac:dyDescent="0.3">
      <c r="A869" s="21"/>
      <c r="B869" s="22"/>
      <c r="C869" s="23"/>
      <c r="D869" s="21"/>
      <c r="E869" s="23"/>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row>
    <row r="870" spans="1:33" ht="13.5" customHeight="1" x14ac:dyDescent="0.3">
      <c r="A870" s="21"/>
      <c r="B870" s="22"/>
      <c r="C870" s="23"/>
      <c r="D870" s="21"/>
      <c r="E870" s="23"/>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row>
    <row r="871" spans="1:33" ht="13.5" customHeight="1" x14ac:dyDescent="0.3">
      <c r="A871" s="21"/>
      <c r="B871" s="22"/>
      <c r="C871" s="23"/>
      <c r="D871" s="21"/>
      <c r="E871" s="23"/>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row>
    <row r="872" spans="1:33" ht="13.5" customHeight="1" x14ac:dyDescent="0.3">
      <c r="A872" s="21"/>
      <c r="B872" s="22"/>
      <c r="C872" s="23"/>
      <c r="D872" s="21"/>
      <c r="E872" s="23"/>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row>
    <row r="873" spans="1:33" ht="13.5" customHeight="1" x14ac:dyDescent="0.3">
      <c r="A873" s="21"/>
      <c r="B873" s="22"/>
      <c r="C873" s="23"/>
      <c r="D873" s="21"/>
      <c r="E873" s="23"/>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row>
    <row r="874" spans="1:33" ht="13.5" customHeight="1" x14ac:dyDescent="0.3">
      <c r="A874" s="21"/>
      <c r="B874" s="22"/>
      <c r="C874" s="23"/>
      <c r="D874" s="21"/>
      <c r="E874" s="23"/>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row>
    <row r="875" spans="1:33" ht="13.5" customHeight="1" x14ac:dyDescent="0.3">
      <c r="A875" s="21"/>
      <c r="B875" s="22"/>
      <c r="C875" s="23"/>
      <c r="D875" s="21"/>
      <c r="E875" s="23"/>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row>
    <row r="876" spans="1:33" ht="13.5" customHeight="1" x14ac:dyDescent="0.3">
      <c r="A876" s="21"/>
      <c r="B876" s="22"/>
      <c r="C876" s="23"/>
      <c r="D876" s="21"/>
      <c r="E876" s="23"/>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row>
    <row r="877" spans="1:33" ht="13.5" customHeight="1" x14ac:dyDescent="0.3">
      <c r="A877" s="21"/>
      <c r="B877" s="22"/>
      <c r="C877" s="23"/>
      <c r="D877" s="21"/>
      <c r="E877" s="23"/>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row>
    <row r="878" spans="1:33" ht="13.5" customHeight="1" x14ac:dyDescent="0.3">
      <c r="A878" s="21"/>
      <c r="B878" s="22"/>
      <c r="C878" s="23"/>
      <c r="D878" s="21"/>
      <c r="E878" s="23"/>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row>
    <row r="879" spans="1:33" ht="13.5" customHeight="1" x14ac:dyDescent="0.3">
      <c r="A879" s="21"/>
      <c r="B879" s="22"/>
      <c r="C879" s="23"/>
      <c r="D879" s="21"/>
      <c r="E879" s="23"/>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row>
    <row r="880" spans="1:33" ht="13.5" customHeight="1" x14ac:dyDescent="0.3">
      <c r="A880" s="21"/>
      <c r="B880" s="22"/>
      <c r="C880" s="23"/>
      <c r="D880" s="21"/>
      <c r="E880" s="23"/>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row>
    <row r="881" spans="1:33" ht="13.5" customHeight="1" x14ac:dyDescent="0.3">
      <c r="A881" s="21"/>
      <c r="B881" s="22"/>
      <c r="C881" s="23"/>
      <c r="D881" s="21"/>
      <c r="E881" s="23"/>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row>
    <row r="882" spans="1:33" ht="13.5" customHeight="1" x14ac:dyDescent="0.3">
      <c r="A882" s="21"/>
      <c r="B882" s="22"/>
      <c r="C882" s="23"/>
      <c r="D882" s="21"/>
      <c r="E882" s="23"/>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row>
    <row r="883" spans="1:33" ht="13.5" customHeight="1" x14ac:dyDescent="0.3">
      <c r="A883" s="21"/>
      <c r="B883" s="22"/>
      <c r="C883" s="23"/>
      <c r="D883" s="21"/>
      <c r="E883" s="23"/>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row>
    <row r="884" spans="1:33" ht="13.5" customHeight="1" x14ac:dyDescent="0.3">
      <c r="A884" s="21"/>
      <c r="B884" s="22"/>
      <c r="C884" s="23"/>
      <c r="D884" s="21"/>
      <c r="E884" s="23"/>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row>
    <row r="885" spans="1:33" ht="13.5" customHeight="1" x14ac:dyDescent="0.3">
      <c r="A885" s="21"/>
      <c r="B885" s="22"/>
      <c r="C885" s="23"/>
      <c r="D885" s="21"/>
      <c r="E885" s="23"/>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row>
    <row r="886" spans="1:33" ht="13.5" customHeight="1" x14ac:dyDescent="0.3">
      <c r="A886" s="21"/>
      <c r="B886" s="22"/>
      <c r="C886" s="23"/>
      <c r="D886" s="21"/>
      <c r="E886" s="23"/>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row>
    <row r="887" spans="1:33" ht="13.5" customHeight="1" x14ac:dyDescent="0.3">
      <c r="A887" s="21"/>
      <c r="B887" s="22"/>
      <c r="C887" s="23"/>
      <c r="D887" s="21"/>
      <c r="E887" s="23"/>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row>
    <row r="888" spans="1:33" ht="13.5" customHeight="1" x14ac:dyDescent="0.3">
      <c r="A888" s="21"/>
      <c r="B888" s="22"/>
      <c r="C888" s="23"/>
      <c r="D888" s="21"/>
      <c r="E888" s="23"/>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row>
    <row r="889" spans="1:33" ht="13.5" customHeight="1" x14ac:dyDescent="0.3">
      <c r="A889" s="21"/>
      <c r="B889" s="22"/>
      <c r="C889" s="23"/>
      <c r="D889" s="21"/>
      <c r="E889" s="23"/>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row>
    <row r="890" spans="1:33" ht="13.5" customHeight="1" x14ac:dyDescent="0.3">
      <c r="A890" s="21"/>
      <c r="B890" s="22"/>
      <c r="C890" s="23"/>
      <c r="D890" s="21"/>
      <c r="E890" s="23"/>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row>
    <row r="891" spans="1:33" ht="13.5" customHeight="1" x14ac:dyDescent="0.3">
      <c r="A891" s="21"/>
      <c r="B891" s="22"/>
      <c r="C891" s="23"/>
      <c r="D891" s="21"/>
      <c r="E891" s="23"/>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row>
    <row r="892" spans="1:33" ht="13.5" customHeight="1" x14ac:dyDescent="0.3">
      <c r="A892" s="21"/>
      <c r="B892" s="22"/>
      <c r="C892" s="23"/>
      <c r="D892" s="21"/>
      <c r="E892" s="23"/>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row>
    <row r="893" spans="1:33" ht="13.5" customHeight="1" x14ac:dyDescent="0.3">
      <c r="A893" s="21"/>
      <c r="B893" s="22"/>
      <c r="C893" s="23"/>
      <c r="D893" s="21"/>
      <c r="E893" s="23"/>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row>
    <row r="894" spans="1:33" ht="13.5" customHeight="1" x14ac:dyDescent="0.3">
      <c r="A894" s="21"/>
      <c r="B894" s="22"/>
      <c r="C894" s="23"/>
      <c r="D894" s="21"/>
      <c r="E894" s="23"/>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row>
    <row r="895" spans="1:33" ht="13.5" customHeight="1" x14ac:dyDescent="0.3">
      <c r="A895" s="21"/>
      <c r="B895" s="22"/>
      <c r="C895" s="23"/>
      <c r="D895" s="21"/>
      <c r="E895" s="23"/>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row>
    <row r="896" spans="1:33" ht="13.5" customHeight="1" x14ac:dyDescent="0.3">
      <c r="A896" s="21"/>
      <c r="B896" s="22"/>
      <c r="C896" s="23"/>
      <c r="D896" s="21"/>
      <c r="E896" s="23"/>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row>
    <row r="897" spans="1:33" ht="13.5" customHeight="1" x14ac:dyDescent="0.3">
      <c r="A897" s="21"/>
      <c r="B897" s="22"/>
      <c r="C897" s="23"/>
      <c r="D897" s="21"/>
      <c r="E897" s="23"/>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row>
    <row r="898" spans="1:33" ht="13.5" customHeight="1" x14ac:dyDescent="0.3">
      <c r="A898" s="21"/>
      <c r="B898" s="22"/>
      <c r="C898" s="23"/>
      <c r="D898" s="21"/>
      <c r="E898" s="23"/>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row>
    <row r="899" spans="1:33" ht="13.5" customHeight="1" x14ac:dyDescent="0.3">
      <c r="A899" s="21"/>
      <c r="B899" s="22"/>
      <c r="C899" s="23"/>
      <c r="D899" s="21"/>
      <c r="E899" s="23"/>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row>
    <row r="900" spans="1:33" ht="13.5" customHeight="1" x14ac:dyDescent="0.3">
      <c r="A900" s="21"/>
      <c r="B900" s="22"/>
      <c r="C900" s="23"/>
      <c r="D900" s="21"/>
      <c r="E900" s="23"/>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row>
    <row r="901" spans="1:33" ht="13.5" customHeight="1" x14ac:dyDescent="0.3">
      <c r="A901" s="21"/>
      <c r="B901" s="22"/>
      <c r="C901" s="23"/>
      <c r="D901" s="21"/>
      <c r="E901" s="23"/>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row>
    <row r="902" spans="1:33" ht="13.5" customHeight="1" x14ac:dyDescent="0.3">
      <c r="A902" s="21"/>
      <c r="B902" s="22"/>
      <c r="C902" s="23"/>
      <c r="D902" s="21"/>
      <c r="E902" s="23"/>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row>
    <row r="903" spans="1:33" ht="13.5" customHeight="1" x14ac:dyDescent="0.3">
      <c r="A903" s="21"/>
      <c r="B903" s="22"/>
      <c r="C903" s="23"/>
      <c r="D903" s="21"/>
      <c r="E903" s="23"/>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row>
    <row r="904" spans="1:33" ht="13.5" customHeight="1" x14ac:dyDescent="0.3">
      <c r="A904" s="21"/>
      <c r="B904" s="22"/>
      <c r="C904" s="23"/>
      <c r="D904" s="21"/>
      <c r="E904" s="23"/>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row>
    <row r="905" spans="1:33" ht="13.5" customHeight="1" x14ac:dyDescent="0.3">
      <c r="A905" s="21"/>
      <c r="B905" s="22"/>
      <c r="C905" s="23"/>
      <c r="D905" s="21"/>
      <c r="E905" s="23"/>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row>
    <row r="906" spans="1:33" ht="13.5" customHeight="1" x14ac:dyDescent="0.3">
      <c r="A906" s="21"/>
      <c r="B906" s="22"/>
      <c r="C906" s="23"/>
      <c r="D906" s="21"/>
      <c r="E906" s="23"/>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row>
    <row r="907" spans="1:33" ht="13.5" customHeight="1" x14ac:dyDescent="0.3">
      <c r="A907" s="21"/>
      <c r="B907" s="22"/>
      <c r="C907" s="23"/>
      <c r="D907" s="21"/>
      <c r="E907" s="23"/>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row>
    <row r="908" spans="1:33" ht="13.5" customHeight="1" x14ac:dyDescent="0.3">
      <c r="A908" s="21"/>
      <c r="B908" s="22"/>
      <c r="C908" s="23"/>
      <c r="D908" s="21"/>
      <c r="E908" s="23"/>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row>
    <row r="909" spans="1:33" ht="13.5" customHeight="1" x14ac:dyDescent="0.3">
      <c r="A909" s="21"/>
      <c r="B909" s="22"/>
      <c r="C909" s="23"/>
      <c r="D909" s="21"/>
      <c r="E909" s="23"/>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row>
    <row r="910" spans="1:33" ht="13.5" customHeight="1" x14ac:dyDescent="0.3">
      <c r="A910" s="21"/>
      <c r="B910" s="22"/>
      <c r="C910" s="23"/>
      <c r="D910" s="21"/>
      <c r="E910" s="23"/>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row>
    <row r="911" spans="1:33" ht="13.5" customHeight="1" x14ac:dyDescent="0.3">
      <c r="A911" s="21"/>
      <c r="B911" s="22"/>
      <c r="C911" s="23"/>
      <c r="D911" s="21"/>
      <c r="E911" s="23"/>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row>
    <row r="912" spans="1:33" ht="13.5" customHeight="1" x14ac:dyDescent="0.3">
      <c r="A912" s="21"/>
      <c r="B912" s="22"/>
      <c r="C912" s="23"/>
      <c r="D912" s="21"/>
      <c r="E912" s="23"/>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row>
    <row r="913" spans="1:33" ht="13.5" customHeight="1" x14ac:dyDescent="0.3">
      <c r="A913" s="21"/>
      <c r="B913" s="22"/>
      <c r="C913" s="23"/>
      <c r="D913" s="21"/>
      <c r="E913" s="23"/>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row>
    <row r="914" spans="1:33" ht="13.5" customHeight="1" x14ac:dyDescent="0.3">
      <c r="A914" s="21"/>
      <c r="B914" s="22"/>
      <c r="C914" s="23"/>
      <c r="D914" s="21"/>
      <c r="E914" s="23"/>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row>
    <row r="915" spans="1:33" ht="13.5" customHeight="1" x14ac:dyDescent="0.3">
      <c r="A915" s="21"/>
      <c r="B915" s="22"/>
      <c r="C915" s="23"/>
      <c r="D915" s="21"/>
      <c r="E915" s="23"/>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row>
    <row r="916" spans="1:33" ht="13.5" customHeight="1" x14ac:dyDescent="0.3">
      <c r="A916" s="21"/>
      <c r="B916" s="22"/>
      <c r="C916" s="23"/>
      <c r="D916" s="21"/>
      <c r="E916" s="23"/>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row>
    <row r="917" spans="1:33" ht="13.5" customHeight="1" x14ac:dyDescent="0.3">
      <c r="A917" s="21"/>
      <c r="B917" s="22"/>
      <c r="C917" s="23"/>
      <c r="D917" s="21"/>
      <c r="E917" s="23"/>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row>
    <row r="918" spans="1:33" ht="13.5" customHeight="1" x14ac:dyDescent="0.3">
      <c r="A918" s="21"/>
      <c r="B918" s="22"/>
      <c r="C918" s="23"/>
      <c r="D918" s="21"/>
      <c r="E918" s="23"/>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row>
    <row r="919" spans="1:33" ht="13.5" customHeight="1" x14ac:dyDescent="0.3">
      <c r="A919" s="21"/>
      <c r="B919" s="22"/>
      <c r="C919" s="23"/>
      <c r="D919" s="21"/>
      <c r="E919" s="23"/>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row>
    <row r="920" spans="1:33" ht="13.5" customHeight="1" x14ac:dyDescent="0.3">
      <c r="A920" s="21"/>
      <c r="B920" s="22"/>
      <c r="C920" s="23"/>
      <c r="D920" s="21"/>
      <c r="E920" s="23"/>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row>
    <row r="921" spans="1:33" ht="13.5" customHeight="1" x14ac:dyDescent="0.3">
      <c r="A921" s="21"/>
      <c r="B921" s="22"/>
      <c r="C921" s="23"/>
      <c r="D921" s="21"/>
      <c r="E921" s="23"/>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row>
    <row r="922" spans="1:33" ht="13.5" customHeight="1" x14ac:dyDescent="0.3">
      <c r="A922" s="21"/>
      <c r="B922" s="22"/>
      <c r="C922" s="23"/>
      <c r="D922" s="21"/>
      <c r="E922" s="23"/>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row>
    <row r="923" spans="1:33" ht="13.5" customHeight="1" x14ac:dyDescent="0.3">
      <c r="A923" s="21"/>
      <c r="B923" s="22"/>
      <c r="C923" s="23"/>
      <c r="D923" s="21"/>
      <c r="E923" s="23"/>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row>
    <row r="924" spans="1:33" ht="13.5" customHeight="1" x14ac:dyDescent="0.3">
      <c r="A924" s="21"/>
      <c r="B924" s="22"/>
      <c r="C924" s="23"/>
      <c r="D924" s="21"/>
      <c r="E924" s="23"/>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row>
    <row r="925" spans="1:33" ht="13.5" customHeight="1" x14ac:dyDescent="0.3">
      <c r="A925" s="21"/>
      <c r="B925" s="22"/>
      <c r="C925" s="23"/>
      <c r="D925" s="21"/>
      <c r="E925" s="23"/>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row>
    <row r="926" spans="1:33" ht="13.5" customHeight="1" x14ac:dyDescent="0.3">
      <c r="A926" s="21"/>
      <c r="B926" s="22"/>
      <c r="C926" s="23"/>
      <c r="D926" s="21"/>
      <c r="E926" s="23"/>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row>
    <row r="927" spans="1:33" ht="13.5" customHeight="1" x14ac:dyDescent="0.3">
      <c r="A927" s="21"/>
      <c r="B927" s="22"/>
      <c r="C927" s="23"/>
      <c r="D927" s="21"/>
      <c r="E927" s="23"/>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row>
    <row r="928" spans="1:33" ht="13.5" customHeight="1" x14ac:dyDescent="0.3">
      <c r="A928" s="21"/>
      <c r="B928" s="22"/>
      <c r="C928" s="23"/>
      <c r="D928" s="21"/>
      <c r="E928" s="23"/>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row>
    <row r="929" spans="1:33" ht="13.5" customHeight="1" x14ac:dyDescent="0.3">
      <c r="A929" s="21"/>
      <c r="B929" s="22"/>
      <c r="C929" s="23"/>
      <c r="D929" s="21"/>
      <c r="E929" s="23"/>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row>
    <row r="930" spans="1:33" ht="13.5" customHeight="1" x14ac:dyDescent="0.3">
      <c r="A930" s="21"/>
      <c r="B930" s="22"/>
      <c r="C930" s="23"/>
      <c r="D930" s="21"/>
      <c r="E930" s="23"/>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row>
    <row r="931" spans="1:33" ht="13.5" customHeight="1" x14ac:dyDescent="0.3">
      <c r="A931" s="21"/>
      <c r="B931" s="22"/>
      <c r="C931" s="23"/>
      <c r="D931" s="21"/>
      <c r="E931" s="23"/>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row>
    <row r="932" spans="1:33" ht="13.5" customHeight="1" x14ac:dyDescent="0.3">
      <c r="A932" s="21"/>
      <c r="B932" s="22"/>
      <c r="C932" s="23"/>
      <c r="D932" s="21"/>
      <c r="E932" s="23"/>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row>
    <row r="933" spans="1:33" ht="13.5" customHeight="1" x14ac:dyDescent="0.3">
      <c r="A933" s="21"/>
      <c r="B933" s="22"/>
      <c r="C933" s="23"/>
      <c r="D933" s="21"/>
      <c r="E933" s="23"/>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row>
    <row r="934" spans="1:33" ht="13.5" customHeight="1" x14ac:dyDescent="0.3">
      <c r="A934" s="21"/>
      <c r="B934" s="22"/>
      <c r="C934" s="23"/>
      <c r="D934" s="21"/>
      <c r="E934" s="23"/>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row>
    <row r="935" spans="1:33" ht="13.5" customHeight="1" x14ac:dyDescent="0.3">
      <c r="A935" s="21"/>
      <c r="B935" s="22"/>
      <c r="C935" s="23"/>
      <c r="D935" s="21"/>
      <c r="E935" s="23"/>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row>
    <row r="936" spans="1:33" ht="13.5" customHeight="1" x14ac:dyDescent="0.3">
      <c r="A936" s="21"/>
      <c r="B936" s="22"/>
      <c r="C936" s="23"/>
      <c r="D936" s="21"/>
      <c r="E936" s="23"/>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row>
    <row r="937" spans="1:33" ht="13.5" customHeight="1" x14ac:dyDescent="0.3">
      <c r="A937" s="21"/>
      <c r="B937" s="22"/>
      <c r="C937" s="23"/>
      <c r="D937" s="21"/>
      <c r="E937" s="23"/>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row>
    <row r="938" spans="1:33" ht="13.5" customHeight="1" x14ac:dyDescent="0.3">
      <c r="A938" s="21"/>
      <c r="B938" s="22"/>
      <c r="C938" s="23"/>
      <c r="D938" s="21"/>
      <c r="E938" s="23"/>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row>
    <row r="939" spans="1:33" ht="13.5" customHeight="1" x14ac:dyDescent="0.3">
      <c r="A939" s="21"/>
      <c r="B939" s="22"/>
      <c r="C939" s="23"/>
      <c r="D939" s="21"/>
      <c r="E939" s="23"/>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row>
    <row r="940" spans="1:33" ht="13.5" customHeight="1" x14ac:dyDescent="0.3">
      <c r="A940" s="21"/>
      <c r="B940" s="22"/>
      <c r="C940" s="23"/>
      <c r="D940" s="21"/>
      <c r="E940" s="23"/>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row>
    <row r="941" spans="1:33" ht="13.5" customHeight="1" x14ac:dyDescent="0.3">
      <c r="A941" s="21"/>
      <c r="B941" s="22"/>
      <c r="C941" s="23"/>
      <c r="D941" s="21"/>
      <c r="E941" s="23"/>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row>
    <row r="942" spans="1:33" ht="13.5" customHeight="1" x14ac:dyDescent="0.3">
      <c r="A942" s="21"/>
      <c r="B942" s="22"/>
      <c r="C942" s="23"/>
      <c r="D942" s="21"/>
      <c r="E942" s="23"/>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row>
    <row r="943" spans="1:33" ht="13.5" customHeight="1" x14ac:dyDescent="0.3">
      <c r="A943" s="21"/>
      <c r="B943" s="22"/>
      <c r="C943" s="23"/>
      <c r="D943" s="21"/>
      <c r="E943" s="23"/>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row>
    <row r="944" spans="1:33" ht="13.5" customHeight="1" x14ac:dyDescent="0.3">
      <c r="A944" s="21"/>
      <c r="B944" s="22"/>
      <c r="C944" s="23"/>
      <c r="D944" s="21"/>
      <c r="E944" s="23"/>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row>
    <row r="945" spans="1:33" ht="13.5" customHeight="1" x14ac:dyDescent="0.3">
      <c r="A945" s="21"/>
      <c r="B945" s="22"/>
      <c r="C945" s="23"/>
      <c r="D945" s="21"/>
      <c r="E945" s="23"/>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row>
    <row r="946" spans="1:33" ht="13.5" customHeight="1" x14ac:dyDescent="0.3">
      <c r="A946" s="21"/>
      <c r="B946" s="22"/>
      <c r="C946" s="23"/>
      <c r="D946" s="21"/>
      <c r="E946" s="23"/>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row>
    <row r="947" spans="1:33" ht="13.5" customHeight="1" x14ac:dyDescent="0.3">
      <c r="A947" s="21"/>
      <c r="B947" s="22"/>
      <c r="C947" s="23"/>
      <c r="D947" s="21"/>
      <c r="E947" s="23"/>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row>
    <row r="948" spans="1:33" ht="13.5" customHeight="1" x14ac:dyDescent="0.3">
      <c r="A948" s="21"/>
      <c r="B948" s="22"/>
      <c r="C948" s="23"/>
      <c r="D948" s="21"/>
      <c r="E948" s="23"/>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row>
    <row r="949" spans="1:33" ht="13.5" customHeight="1" x14ac:dyDescent="0.3">
      <c r="A949" s="21"/>
      <c r="B949" s="22"/>
      <c r="C949" s="23"/>
      <c r="D949" s="21"/>
      <c r="E949" s="23"/>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row>
    <row r="950" spans="1:33" ht="13.5" customHeight="1" x14ac:dyDescent="0.3">
      <c r="A950" s="21"/>
      <c r="B950" s="22"/>
      <c r="C950" s="23"/>
      <c r="D950" s="21"/>
      <c r="E950" s="23"/>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row>
    <row r="951" spans="1:33" ht="13.5" customHeight="1" x14ac:dyDescent="0.3">
      <c r="A951" s="21"/>
      <c r="B951" s="22"/>
      <c r="C951" s="23"/>
      <c r="D951" s="21"/>
      <c r="E951" s="23"/>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row>
    <row r="952" spans="1:33" ht="13.5" customHeight="1" x14ac:dyDescent="0.3">
      <c r="A952" s="21"/>
      <c r="B952" s="22"/>
      <c r="C952" s="23"/>
      <c r="D952" s="21"/>
      <c r="E952" s="23"/>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row>
    <row r="953" spans="1:33" ht="13.5" customHeight="1" x14ac:dyDescent="0.3">
      <c r="A953" s="21"/>
      <c r="B953" s="22"/>
      <c r="C953" s="23"/>
      <c r="D953" s="21"/>
      <c r="E953" s="23"/>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row>
    <row r="954" spans="1:33" ht="13.5" customHeight="1" x14ac:dyDescent="0.3">
      <c r="A954" s="21"/>
      <c r="B954" s="22"/>
      <c r="C954" s="23"/>
      <c r="D954" s="21"/>
      <c r="E954" s="23"/>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row>
    <row r="955" spans="1:33" ht="13.5" customHeight="1" x14ac:dyDescent="0.3">
      <c r="A955" s="21"/>
      <c r="B955" s="22"/>
      <c r="C955" s="23"/>
      <c r="D955" s="21"/>
      <c r="E955" s="23"/>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row>
    <row r="956" spans="1:33" ht="13.5" customHeight="1" x14ac:dyDescent="0.3">
      <c r="A956" s="21"/>
      <c r="B956" s="22"/>
      <c r="C956" s="23"/>
      <c r="D956" s="21"/>
      <c r="E956" s="23"/>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row>
    <row r="957" spans="1:33" ht="13.5" customHeight="1" x14ac:dyDescent="0.3">
      <c r="A957" s="21"/>
      <c r="B957" s="22"/>
      <c r="C957" s="23"/>
      <c r="D957" s="21"/>
      <c r="E957" s="23"/>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row>
    <row r="958" spans="1:33" ht="13.5" customHeight="1" x14ac:dyDescent="0.3">
      <c r="A958" s="21"/>
      <c r="B958" s="22"/>
      <c r="C958" s="23"/>
      <c r="D958" s="21"/>
      <c r="E958" s="23"/>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row>
    <row r="959" spans="1:33" ht="13.5" customHeight="1" x14ac:dyDescent="0.3">
      <c r="A959" s="21"/>
      <c r="B959" s="22"/>
      <c r="C959" s="23"/>
      <c r="D959" s="21"/>
      <c r="E959" s="23"/>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row>
    <row r="960" spans="1:33" ht="13.5" customHeight="1" x14ac:dyDescent="0.3">
      <c r="A960" s="21"/>
      <c r="B960" s="22"/>
      <c r="C960" s="23"/>
      <c r="D960" s="21"/>
      <c r="E960" s="23"/>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row>
    <row r="961" spans="1:33" ht="13.5" customHeight="1" x14ac:dyDescent="0.3">
      <c r="A961" s="21"/>
      <c r="B961" s="22"/>
      <c r="C961" s="23"/>
      <c r="D961" s="21"/>
      <c r="E961" s="23"/>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row>
    <row r="962" spans="1:33" ht="13.5" customHeight="1" x14ac:dyDescent="0.3">
      <c r="A962" s="21"/>
      <c r="B962" s="22"/>
      <c r="C962" s="23"/>
      <c r="D962" s="21"/>
      <c r="E962" s="23"/>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row>
    <row r="963" spans="1:33" ht="13.5" customHeight="1" x14ac:dyDescent="0.3">
      <c r="A963" s="21"/>
      <c r="B963" s="22"/>
      <c r="C963" s="23"/>
      <c r="D963" s="21"/>
      <c r="E963" s="23"/>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row>
    <row r="964" spans="1:33" ht="13.5" customHeight="1" x14ac:dyDescent="0.3">
      <c r="A964" s="21"/>
      <c r="B964" s="22"/>
      <c r="C964" s="23"/>
      <c r="D964" s="21"/>
      <c r="E964" s="23"/>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row>
    <row r="965" spans="1:33" ht="13.5" customHeight="1" x14ac:dyDescent="0.3">
      <c r="A965" s="21"/>
      <c r="B965" s="22"/>
      <c r="C965" s="23"/>
      <c r="D965" s="21"/>
      <c r="E965" s="23"/>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row>
    <row r="966" spans="1:33" ht="13.5" customHeight="1" x14ac:dyDescent="0.3">
      <c r="A966" s="21"/>
      <c r="B966" s="22"/>
      <c r="C966" s="23"/>
      <c r="D966" s="21"/>
      <c r="E966" s="23"/>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row>
    <row r="967" spans="1:33" ht="13.5" customHeight="1" x14ac:dyDescent="0.3">
      <c r="A967" s="21"/>
      <c r="B967" s="22"/>
      <c r="C967" s="23"/>
      <c r="D967" s="21"/>
      <c r="E967" s="23"/>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row>
    <row r="968" spans="1:33" ht="13.5" customHeight="1" x14ac:dyDescent="0.3">
      <c r="A968" s="21"/>
      <c r="B968" s="22"/>
      <c r="C968" s="23"/>
      <c r="D968" s="21"/>
      <c r="E968" s="23"/>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row>
    <row r="969" spans="1:33" ht="13.5" customHeight="1" x14ac:dyDescent="0.3">
      <c r="A969" s="21"/>
      <c r="B969" s="22"/>
      <c r="C969" s="23"/>
      <c r="D969" s="21"/>
      <c r="E969" s="23"/>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row>
    <row r="970" spans="1:33" ht="13.5" customHeight="1" x14ac:dyDescent="0.3">
      <c r="A970" s="21"/>
      <c r="B970" s="22"/>
      <c r="C970" s="23"/>
      <c r="D970" s="21"/>
      <c r="E970" s="23"/>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row>
    <row r="971" spans="1:33" ht="13.5" customHeight="1" x14ac:dyDescent="0.3">
      <c r="A971" s="21"/>
      <c r="B971" s="22"/>
      <c r="C971" s="23"/>
      <c r="D971" s="21"/>
      <c r="E971" s="23"/>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row>
    <row r="972" spans="1:33" ht="13.5" customHeight="1" x14ac:dyDescent="0.3">
      <c r="A972" s="21"/>
      <c r="B972" s="22"/>
      <c r="C972" s="23"/>
      <c r="D972" s="21"/>
      <c r="E972" s="23"/>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row>
    <row r="973" spans="1:33" ht="13.5" customHeight="1" x14ac:dyDescent="0.3">
      <c r="A973" s="21"/>
      <c r="B973" s="22"/>
      <c r="C973" s="23"/>
      <c r="D973" s="21"/>
      <c r="E973" s="23"/>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row>
    <row r="974" spans="1:33" ht="13.5" customHeight="1" x14ac:dyDescent="0.3">
      <c r="A974" s="21"/>
      <c r="B974" s="22"/>
      <c r="C974" s="23"/>
      <c r="D974" s="21"/>
      <c r="E974" s="23"/>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row>
    <row r="975" spans="1:33" ht="13.5" customHeight="1" x14ac:dyDescent="0.3">
      <c r="A975" s="21"/>
      <c r="B975" s="22"/>
      <c r="C975" s="23"/>
      <c r="D975" s="21"/>
      <c r="E975" s="23"/>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row>
    <row r="976" spans="1:33" ht="13.5" customHeight="1" x14ac:dyDescent="0.3">
      <c r="A976" s="21"/>
      <c r="B976" s="22"/>
      <c r="C976" s="23"/>
      <c r="D976" s="21"/>
      <c r="E976" s="23"/>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row>
    <row r="977" spans="1:33" ht="13.5" customHeight="1" x14ac:dyDescent="0.3">
      <c r="A977" s="21"/>
      <c r="B977" s="22"/>
      <c r="C977" s="23"/>
      <c r="D977" s="21"/>
      <c r="E977" s="23"/>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row>
    <row r="978" spans="1:33" ht="13.5" customHeight="1" x14ac:dyDescent="0.3">
      <c r="A978" s="21"/>
      <c r="B978" s="22"/>
      <c r="C978" s="23"/>
      <c r="D978" s="21"/>
      <c r="E978" s="23"/>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row>
    <row r="979" spans="1:33" ht="13.5" customHeight="1" x14ac:dyDescent="0.3">
      <c r="A979" s="21"/>
      <c r="B979" s="22"/>
      <c r="C979" s="23"/>
      <c r="D979" s="21"/>
      <c r="E979" s="23"/>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row>
    <row r="980" spans="1:33" ht="13.5" customHeight="1" x14ac:dyDescent="0.3">
      <c r="A980" s="21"/>
      <c r="B980" s="22"/>
      <c r="C980" s="23"/>
      <c r="D980" s="21"/>
      <c r="E980" s="23"/>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row>
    <row r="981" spans="1:33" ht="13.5" customHeight="1" x14ac:dyDescent="0.3">
      <c r="A981" s="21"/>
      <c r="B981" s="22"/>
      <c r="C981" s="23"/>
      <c r="D981" s="21"/>
      <c r="E981" s="23"/>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row>
    <row r="982" spans="1:33" ht="13.5" customHeight="1" x14ac:dyDescent="0.3">
      <c r="A982" s="21"/>
      <c r="B982" s="22"/>
      <c r="C982" s="23"/>
      <c r="D982" s="21"/>
      <c r="E982" s="23"/>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row>
    <row r="983" spans="1:33" ht="13.5" customHeight="1" x14ac:dyDescent="0.3">
      <c r="A983" s="21"/>
      <c r="B983" s="22"/>
      <c r="C983" s="23"/>
      <c r="D983" s="21"/>
      <c r="E983" s="23"/>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row>
    <row r="984" spans="1:33" ht="13.5" customHeight="1" x14ac:dyDescent="0.3">
      <c r="A984" s="21"/>
      <c r="B984" s="22"/>
      <c r="C984" s="23"/>
      <c r="D984" s="21"/>
      <c r="E984" s="23"/>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row>
    <row r="985" spans="1:33" ht="13.5" customHeight="1" x14ac:dyDescent="0.3">
      <c r="A985" s="21"/>
      <c r="B985" s="22"/>
      <c r="C985" s="23"/>
      <c r="D985" s="21"/>
      <c r="E985" s="23"/>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row>
    <row r="986" spans="1:33" ht="13.5" customHeight="1" x14ac:dyDescent="0.3">
      <c r="A986" s="21"/>
      <c r="B986" s="22"/>
      <c r="C986" s="23"/>
      <c r="D986" s="21"/>
      <c r="E986" s="23"/>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row>
    <row r="987" spans="1:33" ht="13.5" customHeight="1" x14ac:dyDescent="0.3">
      <c r="A987" s="21"/>
      <c r="B987" s="22"/>
      <c r="C987" s="23"/>
      <c r="D987" s="21"/>
      <c r="E987" s="23"/>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row>
    <row r="988" spans="1:33" ht="13.5" customHeight="1" x14ac:dyDescent="0.3">
      <c r="A988" s="21"/>
      <c r="B988" s="22"/>
      <c r="C988" s="23"/>
      <c r="D988" s="21"/>
      <c r="E988" s="23"/>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row>
    <row r="989" spans="1:33" ht="13.5" customHeight="1" x14ac:dyDescent="0.3">
      <c r="A989" s="21"/>
      <c r="B989" s="22"/>
      <c r="C989" s="23"/>
      <c r="D989" s="21"/>
      <c r="E989" s="23"/>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row>
    <row r="990" spans="1:33" ht="13.5" customHeight="1" x14ac:dyDescent="0.3">
      <c r="A990" s="21"/>
      <c r="B990" s="22"/>
      <c r="C990" s="23"/>
      <c r="D990" s="21"/>
      <c r="E990" s="23"/>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row>
    <row r="991" spans="1:33" ht="13.5" customHeight="1" x14ac:dyDescent="0.3">
      <c r="A991" s="21"/>
      <c r="B991" s="22"/>
      <c r="C991" s="23"/>
      <c r="D991" s="21"/>
      <c r="E991" s="23"/>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row>
    <row r="992" spans="1:33" ht="13.5" customHeight="1" x14ac:dyDescent="0.3">
      <c r="A992" s="21"/>
      <c r="B992" s="22"/>
      <c r="C992" s="23"/>
      <c r="D992" s="21"/>
      <c r="E992" s="23"/>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row>
    <row r="993" spans="1:33" ht="13.5" customHeight="1" x14ac:dyDescent="0.3">
      <c r="A993" s="21"/>
      <c r="B993" s="22"/>
      <c r="C993" s="23"/>
      <c r="D993" s="21"/>
      <c r="E993" s="23"/>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row>
    <row r="994" spans="1:33" ht="13.5" customHeight="1" x14ac:dyDescent="0.3">
      <c r="A994" s="21"/>
      <c r="B994" s="22"/>
      <c r="C994" s="23"/>
      <c r="D994" s="21"/>
      <c r="E994" s="23"/>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row>
    <row r="995" spans="1:33" ht="13.5" customHeight="1" x14ac:dyDescent="0.3">
      <c r="A995" s="21"/>
      <c r="B995" s="22"/>
      <c r="C995" s="23"/>
      <c r="D995" s="21"/>
      <c r="E995" s="23"/>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row>
    <row r="996" spans="1:33" ht="13.5" customHeight="1" x14ac:dyDescent="0.3">
      <c r="A996" s="21"/>
      <c r="B996" s="22"/>
      <c r="C996" s="23"/>
      <c r="D996" s="21"/>
      <c r="E996" s="23"/>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row>
    <row r="997" spans="1:33" ht="13.5" customHeight="1" x14ac:dyDescent="0.3">
      <c r="A997" s="21"/>
      <c r="B997" s="22"/>
      <c r="C997" s="23"/>
      <c r="D997" s="21"/>
      <c r="E997" s="23"/>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row>
    <row r="998" spans="1:33" ht="13.5" customHeight="1" x14ac:dyDescent="0.3">
      <c r="A998" s="21"/>
      <c r="B998" s="22"/>
      <c r="C998" s="23"/>
      <c r="D998" s="21"/>
      <c r="E998" s="23"/>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row>
    <row r="999" spans="1:33" ht="13.5" customHeight="1" x14ac:dyDescent="0.3">
      <c r="A999" s="21"/>
      <c r="B999" s="22"/>
      <c r="C999" s="23"/>
      <c r="D999" s="21"/>
      <c r="E999" s="23"/>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row>
    <row r="1000" spans="1:33" ht="13.5" customHeight="1" x14ac:dyDescent="0.3">
      <c r="A1000" s="21"/>
      <c r="B1000" s="22"/>
      <c r="C1000" s="23"/>
      <c r="D1000" s="21"/>
      <c r="E1000" s="23"/>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row>
    <row r="1001" spans="1:33" ht="13.5" customHeight="1" x14ac:dyDescent="0.3">
      <c r="A1001" s="21"/>
      <c r="B1001" s="22"/>
      <c r="C1001" s="23"/>
      <c r="D1001" s="21"/>
      <c r="E1001" s="23"/>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row>
    <row r="1002" spans="1:33" ht="13.5" customHeight="1" x14ac:dyDescent="0.3">
      <c r="A1002" s="21"/>
      <c r="B1002" s="22"/>
      <c r="C1002" s="23"/>
      <c r="D1002" s="21"/>
      <c r="E1002" s="23"/>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row>
    <row r="1003" spans="1:33" ht="13.5" customHeight="1" x14ac:dyDescent="0.3">
      <c r="A1003" s="21"/>
      <c r="B1003" s="22"/>
      <c r="C1003" s="23"/>
      <c r="D1003" s="21"/>
      <c r="E1003" s="23"/>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row>
    <row r="1004" spans="1:33" ht="13.5" customHeight="1" x14ac:dyDescent="0.3">
      <c r="A1004" s="21"/>
      <c r="B1004" s="22"/>
      <c r="C1004" s="23"/>
      <c r="D1004" s="21"/>
      <c r="E1004" s="23"/>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row>
    <row r="1005" spans="1:33" ht="13.5" customHeight="1" x14ac:dyDescent="0.3">
      <c r="A1005" s="21"/>
      <c r="B1005" s="22"/>
      <c r="C1005" s="23"/>
      <c r="D1005" s="21"/>
      <c r="E1005" s="23"/>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c r="AF1005" s="21"/>
      <c r="AG1005" s="21"/>
    </row>
    <row r="1006" spans="1:33" ht="13.5" customHeight="1" x14ac:dyDescent="0.3">
      <c r="A1006" s="21"/>
      <c r="B1006" s="22"/>
      <c r="C1006" s="23"/>
      <c r="D1006" s="21"/>
      <c r="E1006" s="23"/>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row>
    <row r="1007" spans="1:33" ht="13.5" customHeight="1" x14ac:dyDescent="0.3">
      <c r="A1007" s="21"/>
      <c r="B1007" s="22"/>
      <c r="C1007" s="23"/>
      <c r="D1007" s="21"/>
      <c r="E1007" s="23"/>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c r="AF1007" s="21"/>
      <c r="AG1007" s="21"/>
    </row>
    <row r="1008" spans="1:33" ht="13.5" customHeight="1" x14ac:dyDescent="0.3">
      <c r="A1008" s="21"/>
      <c r="B1008" s="22"/>
      <c r="C1008" s="23"/>
      <c r="D1008" s="21"/>
      <c r="E1008" s="23"/>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c r="AF1008" s="21"/>
      <c r="AG1008" s="21"/>
    </row>
    <row r="1009" spans="1:33" ht="13.5" customHeight="1" x14ac:dyDescent="0.3">
      <c r="A1009" s="21"/>
      <c r="B1009" s="22"/>
      <c r="C1009" s="23"/>
      <c r="D1009" s="21"/>
      <c r="E1009" s="23"/>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c r="AF1009" s="21"/>
      <c r="AG1009" s="21"/>
    </row>
    <row r="1010" spans="1:33" ht="13.5" customHeight="1" x14ac:dyDescent="0.3">
      <c r="A1010" s="21"/>
      <c r="B1010" s="22"/>
      <c r="C1010" s="23"/>
      <c r="D1010" s="21"/>
      <c r="E1010" s="23"/>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c r="AF1010" s="21"/>
      <c r="AG1010" s="21"/>
    </row>
    <row r="1011" spans="1:33" ht="13.5" customHeight="1" x14ac:dyDescent="0.3">
      <c r="A1011" s="21"/>
      <c r="B1011" s="22"/>
      <c r="C1011" s="23"/>
      <c r="D1011" s="21"/>
      <c r="E1011" s="23"/>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c r="AF1011" s="21"/>
      <c r="AG1011" s="21"/>
    </row>
    <row r="1012" spans="1:33" ht="13.5" customHeight="1" x14ac:dyDescent="0.3">
      <c r="A1012" s="21"/>
      <c r="B1012" s="22"/>
      <c r="C1012" s="23"/>
      <c r="D1012" s="21"/>
      <c r="E1012" s="23"/>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c r="AF1012" s="21"/>
      <c r="AG1012" s="21"/>
    </row>
    <row r="1013" spans="1:33" ht="13.5" customHeight="1" x14ac:dyDescent="0.3">
      <c r="A1013" s="21"/>
      <c r="B1013" s="22"/>
      <c r="C1013" s="23"/>
      <c r="D1013" s="21"/>
      <c r="E1013" s="23"/>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c r="AF1013" s="21"/>
      <c r="AG1013" s="21"/>
    </row>
    <row r="1014" spans="1:33" ht="13.5" customHeight="1" x14ac:dyDescent="0.3">
      <c r="A1014" s="21"/>
      <c r="B1014" s="22"/>
      <c r="C1014" s="23"/>
      <c r="D1014" s="21"/>
      <c r="E1014" s="23"/>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c r="AF1014" s="21"/>
      <c r="AG1014" s="21"/>
    </row>
    <row r="1015" spans="1:33" ht="13.5" customHeight="1" x14ac:dyDescent="0.3">
      <c r="A1015" s="21"/>
      <c r="B1015" s="22"/>
      <c r="C1015" s="23"/>
      <c r="D1015" s="21"/>
      <c r="E1015" s="23"/>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c r="AF1015" s="21"/>
      <c r="AG1015" s="21"/>
    </row>
    <row r="1016" spans="1:33" ht="13.5" customHeight="1" x14ac:dyDescent="0.3">
      <c r="A1016" s="21"/>
      <c r="B1016" s="22"/>
      <c r="C1016" s="23"/>
      <c r="D1016" s="21"/>
      <c r="E1016" s="23"/>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c r="AF1016" s="21"/>
      <c r="AG1016" s="21"/>
    </row>
    <row r="1017" spans="1:33" ht="13.5" customHeight="1" x14ac:dyDescent="0.3">
      <c r="A1017" s="21"/>
      <c r="B1017" s="22"/>
      <c r="C1017" s="23"/>
      <c r="D1017" s="21"/>
      <c r="E1017" s="23"/>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row>
    <row r="1018" spans="1:33" ht="13.5" customHeight="1" x14ac:dyDescent="0.3">
      <c r="A1018" s="21"/>
      <c r="B1018" s="22"/>
      <c r="C1018" s="23"/>
      <c r="D1018" s="21"/>
      <c r="E1018" s="23"/>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row>
    <row r="1019" spans="1:33" ht="13.5" customHeight="1" x14ac:dyDescent="0.3">
      <c r="A1019" s="21"/>
      <c r="B1019" s="22"/>
      <c r="C1019" s="23"/>
      <c r="D1019" s="21"/>
      <c r="E1019" s="23"/>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row>
    <row r="1020" spans="1:33" ht="13.5" customHeight="1" x14ac:dyDescent="0.3">
      <c r="A1020" s="21"/>
      <c r="B1020" s="22"/>
      <c r="C1020" s="23"/>
      <c r="D1020" s="21"/>
      <c r="E1020" s="23"/>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row>
    <row r="1021" spans="1:33" ht="13.5" customHeight="1" x14ac:dyDescent="0.3">
      <c r="A1021" s="21"/>
      <c r="B1021" s="22"/>
      <c r="C1021" s="23"/>
      <c r="D1021" s="21"/>
      <c r="E1021" s="23"/>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row>
    <row r="1022" spans="1:33" ht="13.5" customHeight="1" x14ac:dyDescent="0.3">
      <c r="A1022" s="21"/>
      <c r="B1022" s="22"/>
      <c r="C1022" s="23"/>
      <c r="D1022" s="21"/>
      <c r="E1022" s="23"/>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row>
    <row r="1023" spans="1:33" ht="13.5" customHeight="1" x14ac:dyDescent="0.3">
      <c r="A1023" s="21"/>
      <c r="B1023" s="22"/>
      <c r="C1023" s="23"/>
      <c r="D1023" s="21"/>
      <c r="E1023" s="23"/>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row>
    <row r="1024" spans="1:33" ht="13.5" customHeight="1" x14ac:dyDescent="0.3">
      <c r="A1024" s="21"/>
      <c r="B1024" s="22"/>
      <c r="C1024" s="23"/>
      <c r="D1024" s="21"/>
      <c r="E1024" s="23"/>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row>
    <row r="1025" spans="1:33" ht="13.5" customHeight="1" x14ac:dyDescent="0.3">
      <c r="A1025" s="21"/>
      <c r="B1025" s="22"/>
      <c r="C1025" s="23"/>
      <c r="D1025" s="21"/>
      <c r="E1025" s="23"/>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c r="AF1025" s="21"/>
      <c r="AG1025" s="21"/>
    </row>
    <row r="1026" spans="1:33" ht="13.5" customHeight="1" x14ac:dyDescent="0.3">
      <c r="A1026" s="21"/>
      <c r="B1026" s="22"/>
      <c r="C1026" s="23"/>
      <c r="D1026" s="21"/>
      <c r="E1026" s="23"/>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row>
    <row r="1027" spans="1:33" ht="13.5" customHeight="1" x14ac:dyDescent="0.3">
      <c r="A1027" s="21"/>
      <c r="B1027" s="22"/>
      <c r="C1027" s="23"/>
      <c r="D1027" s="21"/>
      <c r="E1027" s="23"/>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c r="AF1027" s="21"/>
      <c r="AG1027" s="21"/>
    </row>
    <row r="1028" spans="1:33" ht="13.5" customHeight="1" x14ac:dyDescent="0.3">
      <c r="A1028" s="21"/>
      <c r="B1028" s="22"/>
      <c r="C1028" s="23"/>
      <c r="D1028" s="21"/>
      <c r="E1028" s="23"/>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c r="AF1028" s="21"/>
      <c r="AG1028" s="21"/>
    </row>
    <row r="1029" spans="1:33" ht="13.5" customHeight="1" x14ac:dyDescent="0.3">
      <c r="A1029" s="21"/>
      <c r="B1029" s="22"/>
      <c r="C1029" s="23"/>
      <c r="D1029" s="21"/>
      <c r="E1029" s="23"/>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c r="AF1029" s="21"/>
      <c r="AG1029" s="21"/>
    </row>
    <row r="1030" spans="1:33" ht="13.5" customHeight="1" x14ac:dyDescent="0.3">
      <c r="A1030" s="21"/>
      <c r="B1030" s="22"/>
      <c r="C1030" s="23"/>
      <c r="D1030" s="21"/>
      <c r="E1030" s="23"/>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c r="AF1030" s="21"/>
      <c r="AG1030" s="21"/>
    </row>
    <row r="1031" spans="1:33" ht="13.5" customHeight="1" x14ac:dyDescent="0.3">
      <c r="A1031" s="21"/>
      <c r="B1031" s="22"/>
      <c r="C1031" s="23"/>
      <c r="D1031" s="21"/>
      <c r="E1031" s="23"/>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c r="AF1031" s="21"/>
      <c r="AG1031" s="21"/>
    </row>
    <row r="1032" spans="1:33" ht="13.5" customHeight="1" x14ac:dyDescent="0.3">
      <c r="A1032" s="21"/>
      <c r="B1032" s="22"/>
      <c r="C1032" s="23"/>
      <c r="D1032" s="21"/>
      <c r="E1032" s="23"/>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c r="AF1032" s="21"/>
      <c r="AG1032" s="21"/>
    </row>
    <row r="1033" spans="1:33" ht="13.5" customHeight="1" x14ac:dyDescent="0.3">
      <c r="A1033" s="21"/>
      <c r="B1033" s="22"/>
      <c r="C1033" s="23"/>
      <c r="D1033" s="21"/>
      <c r="E1033" s="23"/>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c r="AF1033" s="21"/>
      <c r="AG1033" s="21"/>
    </row>
    <row r="1034" spans="1:33" ht="13.5" customHeight="1" x14ac:dyDescent="0.3">
      <c r="A1034" s="21"/>
      <c r="B1034" s="22"/>
      <c r="C1034" s="23"/>
      <c r="D1034" s="21"/>
      <c r="E1034" s="23"/>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c r="AF1034" s="21"/>
      <c r="AG1034" s="21"/>
    </row>
    <row r="1035" spans="1:33" ht="13.5" customHeight="1" x14ac:dyDescent="0.3">
      <c r="A1035" s="21"/>
      <c r="B1035" s="22"/>
      <c r="C1035" s="23"/>
      <c r="D1035" s="21"/>
      <c r="E1035" s="23"/>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c r="AF1035" s="21"/>
      <c r="AG1035" s="21"/>
    </row>
    <row r="1036" spans="1:33" ht="13.5" customHeight="1" x14ac:dyDescent="0.3">
      <c r="A1036" s="21"/>
      <c r="B1036" s="22"/>
      <c r="C1036" s="23"/>
      <c r="D1036" s="21"/>
      <c r="E1036" s="23"/>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c r="AF1036" s="21"/>
      <c r="AG1036" s="21"/>
    </row>
    <row r="1037" spans="1:33" ht="13.5" customHeight="1" x14ac:dyDescent="0.3">
      <c r="A1037" s="21"/>
      <c r="B1037" s="22"/>
      <c r="C1037" s="23"/>
      <c r="D1037" s="21"/>
      <c r="E1037" s="23"/>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c r="AF1037" s="21"/>
      <c r="AG1037" s="21"/>
    </row>
    <row r="1038" spans="1:33" ht="13.5" customHeight="1" x14ac:dyDescent="0.3">
      <c r="A1038" s="21"/>
      <c r="B1038" s="22"/>
      <c r="C1038" s="23"/>
      <c r="D1038" s="21"/>
      <c r="E1038" s="23"/>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c r="AF1038" s="21"/>
      <c r="AG1038" s="21"/>
    </row>
    <row r="1039" spans="1:33" ht="13.5" customHeight="1" x14ac:dyDescent="0.3">
      <c r="A1039" s="21"/>
      <c r="B1039" s="22"/>
      <c r="C1039" s="23"/>
      <c r="D1039" s="21"/>
      <c r="E1039" s="23"/>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row>
    <row r="1040" spans="1:33" ht="13.5" customHeight="1" x14ac:dyDescent="0.3">
      <c r="A1040" s="21"/>
      <c r="B1040" s="22"/>
      <c r="C1040" s="23"/>
      <c r="D1040" s="21"/>
      <c r="E1040" s="23"/>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c r="AF1040" s="21"/>
      <c r="AG1040" s="21"/>
    </row>
    <row r="1041" spans="1:33" ht="13.5" customHeight="1" x14ac:dyDescent="0.3">
      <c r="A1041" s="21"/>
      <c r="B1041" s="22"/>
      <c r="C1041" s="23"/>
      <c r="D1041" s="21"/>
      <c r="E1041" s="23"/>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c r="AF1041" s="21"/>
      <c r="AG1041" s="21"/>
    </row>
    <row r="1042" spans="1:33" ht="13.5" customHeight="1" x14ac:dyDescent="0.3">
      <c r="A1042" s="21"/>
      <c r="B1042" s="22"/>
      <c r="C1042" s="23"/>
      <c r="D1042" s="21"/>
      <c r="E1042" s="23"/>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c r="AF1042" s="21"/>
      <c r="AG1042" s="21"/>
    </row>
    <row r="1043" spans="1:33" ht="13.5" customHeight="1" x14ac:dyDescent="0.3">
      <c r="A1043" s="21"/>
      <c r="B1043" s="22"/>
      <c r="C1043" s="23"/>
      <c r="D1043" s="21"/>
      <c r="E1043" s="23"/>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c r="AF1043" s="21"/>
      <c r="AG1043" s="21"/>
    </row>
    <row r="1044" spans="1:33" ht="13.5" customHeight="1" x14ac:dyDescent="0.3">
      <c r="A1044" s="21"/>
      <c r="B1044" s="22"/>
      <c r="C1044" s="23"/>
      <c r="D1044" s="21"/>
      <c r="E1044" s="23"/>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c r="AF1044" s="21"/>
      <c r="AG1044" s="21"/>
    </row>
    <row r="1045" spans="1:33" ht="13.5" customHeight="1" x14ac:dyDescent="0.3">
      <c r="A1045" s="21"/>
      <c r="B1045" s="22"/>
      <c r="C1045" s="23"/>
      <c r="D1045" s="21"/>
      <c r="E1045" s="23"/>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c r="AF1045" s="21"/>
      <c r="AG1045" s="21"/>
    </row>
    <row r="1046" spans="1:33" ht="13.5" customHeight="1" x14ac:dyDescent="0.3">
      <c r="A1046" s="21"/>
      <c r="B1046" s="22"/>
      <c r="C1046" s="23"/>
      <c r="D1046" s="21"/>
      <c r="E1046" s="23"/>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c r="AF1046" s="21"/>
      <c r="AG1046" s="21"/>
    </row>
    <row r="1047" spans="1:33" ht="13.5" customHeight="1" x14ac:dyDescent="0.3">
      <c r="A1047" s="21"/>
      <c r="B1047" s="22"/>
      <c r="C1047" s="23"/>
      <c r="D1047" s="21"/>
      <c r="E1047" s="23"/>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c r="AF1047" s="21"/>
      <c r="AG1047" s="21"/>
    </row>
    <row r="1048" spans="1:33" ht="13.5" customHeight="1" x14ac:dyDescent="0.3">
      <c r="A1048" s="21"/>
      <c r="B1048" s="22"/>
      <c r="C1048" s="23"/>
      <c r="D1048" s="21"/>
      <c r="E1048" s="23"/>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c r="AF1048" s="21"/>
      <c r="AG1048" s="21"/>
    </row>
    <row r="1049" spans="1:33" ht="13.5" customHeight="1" x14ac:dyDescent="0.3">
      <c r="A1049" s="21"/>
      <c r="B1049" s="22"/>
      <c r="C1049" s="23"/>
      <c r="D1049" s="21"/>
      <c r="E1049" s="23"/>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c r="AF1049" s="21"/>
      <c r="AG1049" s="21"/>
    </row>
    <row r="1050" spans="1:33" ht="13.5" customHeight="1" x14ac:dyDescent="0.3">
      <c r="A1050" s="21"/>
      <c r="B1050" s="22"/>
      <c r="C1050" s="23"/>
      <c r="D1050" s="21"/>
      <c r="E1050" s="23"/>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c r="AF1050" s="21"/>
      <c r="AG1050" s="21"/>
    </row>
    <row r="1051" spans="1:33" ht="13.5" customHeight="1" x14ac:dyDescent="0.3">
      <c r="A1051" s="21"/>
      <c r="B1051" s="22"/>
      <c r="C1051" s="23"/>
      <c r="D1051" s="21"/>
      <c r="E1051" s="23"/>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c r="AF1051" s="21"/>
      <c r="AG1051" s="21"/>
    </row>
    <row r="1052" spans="1:33" ht="13.5" customHeight="1" x14ac:dyDescent="0.3">
      <c r="A1052" s="21"/>
      <c r="B1052" s="22"/>
      <c r="C1052" s="23"/>
      <c r="D1052" s="21"/>
      <c r="E1052" s="23"/>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c r="AF1052" s="21"/>
      <c r="AG1052" s="21"/>
    </row>
    <row r="1053" spans="1:33" ht="13.5" customHeight="1" x14ac:dyDescent="0.3">
      <c r="A1053" s="21"/>
      <c r="B1053" s="22"/>
      <c r="C1053" s="23"/>
      <c r="D1053" s="21"/>
      <c r="E1053" s="23"/>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c r="AF1053" s="21"/>
      <c r="AG1053" s="21"/>
    </row>
    <row r="1054" spans="1:33" ht="13.5" customHeight="1" x14ac:dyDescent="0.3">
      <c r="A1054" s="21"/>
      <c r="B1054" s="22"/>
      <c r="C1054" s="23"/>
      <c r="D1054" s="21"/>
      <c r="E1054" s="23"/>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c r="AF1054" s="21"/>
      <c r="AG1054" s="21"/>
    </row>
    <row r="1055" spans="1:33" ht="13.5" customHeight="1" x14ac:dyDescent="0.3">
      <c r="A1055" s="21"/>
      <c r="B1055" s="22"/>
      <c r="C1055" s="23"/>
      <c r="D1055" s="21"/>
      <c r="E1055" s="23"/>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c r="AF1055" s="21"/>
      <c r="AG1055" s="21"/>
    </row>
    <row r="1056" spans="1:33" ht="13.5" customHeight="1" x14ac:dyDescent="0.3">
      <c r="A1056" s="21"/>
      <c r="B1056" s="22"/>
      <c r="C1056" s="23"/>
      <c r="D1056" s="21"/>
      <c r="E1056" s="23"/>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c r="AF1056" s="21"/>
      <c r="AG1056" s="21"/>
    </row>
    <row r="1057" spans="1:33" ht="13.5" customHeight="1" x14ac:dyDescent="0.3">
      <c r="A1057" s="21"/>
      <c r="B1057" s="22"/>
      <c r="C1057" s="23"/>
      <c r="D1057" s="21"/>
      <c r="E1057" s="23"/>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c r="AE1057" s="21"/>
      <c r="AF1057" s="21"/>
      <c r="AG1057" s="21"/>
    </row>
    <row r="1058" spans="1:33" ht="13.5" customHeight="1" x14ac:dyDescent="0.3">
      <c r="A1058" s="21"/>
      <c r="B1058" s="22"/>
      <c r="C1058" s="23"/>
      <c r="D1058" s="21"/>
      <c r="E1058" s="23"/>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c r="AE1058" s="21"/>
      <c r="AF1058" s="21"/>
      <c r="AG1058" s="21"/>
    </row>
    <row r="1059" spans="1:33" ht="13.5" customHeight="1" x14ac:dyDescent="0.3">
      <c r="A1059" s="21"/>
      <c r="B1059" s="22"/>
      <c r="C1059" s="23"/>
      <c r="D1059" s="21"/>
      <c r="E1059" s="23"/>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c r="AE1059" s="21"/>
      <c r="AF1059" s="21"/>
      <c r="AG1059" s="21"/>
    </row>
    <row r="1060" spans="1:33" ht="13.5" customHeight="1" x14ac:dyDescent="0.3">
      <c r="A1060" s="21"/>
      <c r="B1060" s="22"/>
      <c r="C1060" s="23"/>
      <c r="D1060" s="21"/>
      <c r="E1060" s="23"/>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c r="AF1060" s="21"/>
      <c r="AG1060" s="21"/>
    </row>
    <row r="1061" spans="1:33" ht="13.5" customHeight="1" x14ac:dyDescent="0.3">
      <c r="A1061" s="21"/>
      <c r="B1061" s="22"/>
      <c r="C1061" s="23"/>
      <c r="D1061" s="21"/>
      <c r="E1061" s="23"/>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row>
    <row r="1062" spans="1:33" ht="13.5" customHeight="1" x14ac:dyDescent="0.3">
      <c r="A1062" s="21"/>
      <c r="B1062" s="22"/>
      <c r="C1062" s="23"/>
      <c r="D1062" s="21"/>
      <c r="E1062" s="23"/>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c r="AF1062" s="21"/>
      <c r="AG1062" s="21"/>
    </row>
    <row r="1063" spans="1:33" ht="13.5" customHeight="1" x14ac:dyDescent="0.3">
      <c r="A1063" s="21"/>
      <c r="B1063" s="22"/>
      <c r="C1063" s="23"/>
      <c r="D1063" s="21"/>
      <c r="E1063" s="23"/>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c r="AF1063" s="21"/>
      <c r="AG1063" s="21"/>
    </row>
    <row r="1064" spans="1:33" ht="13.5" customHeight="1" x14ac:dyDescent="0.3">
      <c r="A1064" s="21"/>
      <c r="B1064" s="22"/>
      <c r="C1064" s="23"/>
      <c r="D1064" s="21"/>
      <c r="E1064" s="23"/>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c r="AE1064" s="21"/>
      <c r="AF1064" s="21"/>
      <c r="AG1064" s="21"/>
    </row>
    <row r="1065" spans="1:33" ht="13.5" customHeight="1" x14ac:dyDescent="0.3">
      <c r="A1065" s="21"/>
      <c r="B1065" s="22"/>
      <c r="C1065" s="23"/>
      <c r="D1065" s="21"/>
      <c r="E1065" s="23"/>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c r="AE1065" s="21"/>
      <c r="AF1065" s="21"/>
      <c r="AG1065" s="21"/>
    </row>
    <row r="1066" spans="1:33" ht="13.5" customHeight="1" x14ac:dyDescent="0.3">
      <c r="A1066" s="21"/>
      <c r="B1066" s="22"/>
      <c r="C1066" s="23"/>
      <c r="D1066" s="21"/>
      <c r="E1066" s="23"/>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c r="AE1066" s="21"/>
      <c r="AF1066" s="21"/>
      <c r="AG1066" s="21"/>
    </row>
    <row r="1067" spans="1:33" ht="13.5" customHeight="1" x14ac:dyDescent="0.3">
      <c r="A1067" s="21"/>
      <c r="B1067" s="22"/>
      <c r="C1067" s="23"/>
      <c r="D1067" s="21"/>
      <c r="E1067" s="23"/>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c r="AE1067" s="21"/>
      <c r="AF1067" s="21"/>
      <c r="AG1067" s="21"/>
    </row>
    <row r="1068" spans="1:33" ht="13.5" customHeight="1" x14ac:dyDescent="0.3">
      <c r="A1068" s="21"/>
      <c r="B1068" s="22"/>
      <c r="C1068" s="23"/>
      <c r="D1068" s="21"/>
      <c r="E1068" s="23"/>
      <c r="F1068" s="21"/>
      <c r="G1068" s="21"/>
      <c r="H1068" s="21"/>
      <c r="I1068" s="21"/>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c r="AF1068" s="21"/>
      <c r="AG1068" s="21"/>
    </row>
    <row r="1069" spans="1:33" ht="13.5" customHeight="1" x14ac:dyDescent="0.3">
      <c r="A1069" s="21"/>
      <c r="B1069" s="22"/>
      <c r="C1069" s="23"/>
      <c r="D1069" s="21"/>
      <c r="E1069" s="23"/>
      <c r="F1069" s="21"/>
      <c r="G1069" s="21"/>
      <c r="H1069" s="21"/>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c r="AF1069" s="21"/>
      <c r="AG1069" s="21"/>
    </row>
    <row r="1070" spans="1:33" ht="13.5" customHeight="1" x14ac:dyDescent="0.3">
      <c r="A1070" s="21"/>
      <c r="B1070" s="22"/>
      <c r="C1070" s="23"/>
      <c r="D1070" s="21"/>
      <c r="E1070" s="23"/>
      <c r="F1070" s="21"/>
      <c r="G1070" s="21"/>
      <c r="H1070" s="21"/>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c r="AF1070" s="21"/>
      <c r="AG1070" s="21"/>
    </row>
    <row r="1071" spans="1:33" ht="13.5" customHeight="1" x14ac:dyDescent="0.3">
      <c r="A1071" s="21"/>
      <c r="B1071" s="22"/>
      <c r="C1071" s="23"/>
      <c r="D1071" s="21"/>
      <c r="E1071" s="23"/>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c r="AC1071" s="21"/>
      <c r="AD1071" s="21"/>
      <c r="AE1071" s="21"/>
      <c r="AF1071" s="21"/>
      <c r="AG1071" s="21"/>
    </row>
    <row r="1072" spans="1:33" ht="13.5" customHeight="1" x14ac:dyDescent="0.3">
      <c r="A1072" s="21"/>
      <c r="B1072" s="22"/>
      <c r="C1072" s="23"/>
      <c r="D1072" s="21"/>
      <c r="E1072" s="23"/>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1"/>
      <c r="AE1072" s="21"/>
      <c r="AF1072" s="21"/>
      <c r="AG1072" s="21"/>
    </row>
    <row r="1073" spans="1:33" ht="13.5" customHeight="1" x14ac:dyDescent="0.3">
      <c r="A1073" s="21"/>
      <c r="B1073" s="22"/>
      <c r="C1073" s="23"/>
      <c r="D1073" s="21"/>
      <c r="E1073" s="23"/>
      <c r="F1073" s="21"/>
      <c r="G1073" s="21"/>
      <c r="H1073" s="21"/>
      <c r="I1073" s="21"/>
      <c r="J1073" s="21"/>
      <c r="K1073" s="21"/>
      <c r="L1073" s="21"/>
      <c r="M1073" s="21"/>
      <c r="N1073" s="21"/>
      <c r="O1073" s="21"/>
      <c r="P1073" s="21"/>
      <c r="Q1073" s="21"/>
      <c r="R1073" s="21"/>
      <c r="S1073" s="21"/>
      <c r="T1073" s="21"/>
      <c r="U1073" s="21"/>
      <c r="V1073" s="21"/>
      <c r="W1073" s="21"/>
      <c r="X1073" s="21"/>
      <c r="Y1073" s="21"/>
      <c r="Z1073" s="21"/>
      <c r="AA1073" s="21"/>
      <c r="AB1073" s="21"/>
      <c r="AC1073" s="21"/>
      <c r="AD1073" s="21"/>
      <c r="AE1073" s="21"/>
      <c r="AF1073" s="21"/>
      <c r="AG1073" s="21"/>
    </row>
    <row r="1074" spans="1:33" ht="13.5" customHeight="1" x14ac:dyDescent="0.3">
      <c r="A1074" s="21"/>
      <c r="B1074" s="22"/>
      <c r="C1074" s="23"/>
      <c r="D1074" s="21"/>
      <c r="E1074" s="23"/>
      <c r="F1074" s="21"/>
      <c r="G1074" s="21"/>
      <c r="H1074" s="21"/>
      <c r="I1074" s="21"/>
      <c r="J1074" s="21"/>
      <c r="K1074" s="21"/>
      <c r="L1074" s="21"/>
      <c r="M1074" s="21"/>
      <c r="N1074" s="21"/>
      <c r="O1074" s="21"/>
      <c r="P1074" s="21"/>
      <c r="Q1074" s="21"/>
      <c r="R1074" s="21"/>
      <c r="S1074" s="21"/>
      <c r="T1074" s="21"/>
      <c r="U1074" s="21"/>
      <c r="V1074" s="21"/>
      <c r="W1074" s="21"/>
      <c r="X1074" s="21"/>
      <c r="Y1074" s="21"/>
      <c r="Z1074" s="21"/>
      <c r="AA1074" s="21"/>
      <c r="AB1074" s="21"/>
      <c r="AC1074" s="21"/>
      <c r="AD1074" s="21"/>
      <c r="AE1074" s="21"/>
      <c r="AF1074" s="21"/>
      <c r="AG1074" s="21"/>
    </row>
    <row r="1075" spans="1:33" ht="13.5" customHeight="1" x14ac:dyDescent="0.3">
      <c r="A1075" s="21"/>
      <c r="B1075" s="22"/>
      <c r="C1075" s="23"/>
      <c r="D1075" s="21"/>
      <c r="E1075" s="23"/>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21"/>
      <c r="AC1075" s="21"/>
      <c r="AD1075" s="21"/>
      <c r="AE1075" s="21"/>
      <c r="AF1075" s="21"/>
      <c r="AG1075" s="21"/>
    </row>
    <row r="1076" spans="1:33" ht="13.5" customHeight="1" x14ac:dyDescent="0.3">
      <c r="A1076" s="21"/>
      <c r="B1076" s="22"/>
      <c r="C1076" s="23"/>
      <c r="D1076" s="21"/>
      <c r="E1076" s="23"/>
      <c r="F1076" s="21"/>
      <c r="G1076" s="21"/>
      <c r="H1076" s="21"/>
      <c r="I1076" s="21"/>
      <c r="J1076" s="21"/>
      <c r="K1076" s="21"/>
      <c r="L1076" s="21"/>
      <c r="M1076" s="21"/>
      <c r="N1076" s="21"/>
      <c r="O1076" s="21"/>
      <c r="P1076" s="21"/>
      <c r="Q1076" s="21"/>
      <c r="R1076" s="21"/>
      <c r="S1076" s="21"/>
      <c r="T1076" s="21"/>
      <c r="U1076" s="21"/>
      <c r="V1076" s="21"/>
      <c r="W1076" s="21"/>
      <c r="X1076" s="21"/>
      <c r="Y1076" s="21"/>
      <c r="Z1076" s="21"/>
      <c r="AA1076" s="21"/>
      <c r="AB1076" s="21"/>
      <c r="AC1076" s="21"/>
      <c r="AD1076" s="21"/>
      <c r="AE1076" s="21"/>
      <c r="AF1076" s="21"/>
      <c r="AG1076" s="21"/>
    </row>
    <row r="1077" spans="1:33" ht="13.8" x14ac:dyDescent="0.3">
      <c r="A1077" s="21"/>
      <c r="B1077" s="21"/>
      <c r="C1077" s="21"/>
      <c r="D1077" s="21"/>
      <c r="E1077" s="23"/>
      <c r="F1077" s="21"/>
      <c r="G1077" s="21"/>
      <c r="H1077" s="21"/>
      <c r="I1077" s="21"/>
      <c r="J1077" s="21"/>
      <c r="K1077" s="21"/>
      <c r="L1077" s="21"/>
      <c r="M1077" s="21"/>
      <c r="N1077" s="21"/>
      <c r="O1077" s="21"/>
      <c r="P1077" s="21"/>
      <c r="Q1077" s="21"/>
      <c r="R1077" s="21"/>
      <c r="S1077" s="21"/>
      <c r="T1077" s="21"/>
      <c r="U1077" s="21"/>
      <c r="V1077" s="21"/>
      <c r="W1077" s="21"/>
      <c r="X1077" s="21"/>
      <c r="Y1077" s="21"/>
      <c r="Z1077" s="21"/>
      <c r="AA1077" s="21"/>
      <c r="AB1077" s="21"/>
      <c r="AC1077" s="21"/>
      <c r="AD1077" s="21"/>
      <c r="AE1077" s="21"/>
      <c r="AF1077" s="21"/>
      <c r="AG1077" s="21"/>
    </row>
    <row r="1078" spans="1:33" ht="13.8" x14ac:dyDescent="0.3">
      <c r="A1078" s="21"/>
      <c r="B1078" s="21"/>
      <c r="C1078" s="21"/>
      <c r="D1078" s="21"/>
      <c r="E1078" s="23"/>
      <c r="F1078" s="21"/>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21"/>
      <c r="AC1078" s="21"/>
      <c r="AD1078" s="21"/>
      <c r="AE1078" s="21"/>
      <c r="AF1078" s="21"/>
      <c r="AG1078" s="21"/>
    </row>
    <row r="1079" spans="1:33" ht="13.8" x14ac:dyDescent="0.3">
      <c r="A1079" s="21"/>
      <c r="B1079" s="21"/>
      <c r="C1079" s="21"/>
      <c r="D1079" s="21"/>
      <c r="E1079" s="23"/>
      <c r="F1079" s="21"/>
      <c r="G1079" s="21"/>
      <c r="H1079" s="21"/>
      <c r="I1079" s="21"/>
      <c r="J1079" s="21"/>
      <c r="K1079" s="21"/>
      <c r="L1079" s="21"/>
      <c r="M1079" s="21"/>
      <c r="N1079" s="21"/>
      <c r="O1079" s="21"/>
      <c r="P1079" s="21"/>
      <c r="Q1079" s="21"/>
      <c r="R1079" s="21"/>
      <c r="S1079" s="21"/>
      <c r="T1079" s="21"/>
      <c r="U1079" s="21"/>
      <c r="V1079" s="21"/>
      <c r="W1079" s="21"/>
      <c r="X1079" s="21"/>
      <c r="Y1079" s="21"/>
      <c r="Z1079" s="21"/>
      <c r="AA1079" s="21"/>
      <c r="AB1079" s="21"/>
      <c r="AC1079" s="21"/>
      <c r="AD1079" s="21"/>
      <c r="AE1079" s="21"/>
      <c r="AF1079" s="21"/>
      <c r="AG1079" s="21"/>
    </row>
  </sheetData>
  <mergeCells count="9">
    <mergeCell ref="L3:U6"/>
    <mergeCell ref="E4:E6"/>
    <mergeCell ref="I4:I6"/>
    <mergeCell ref="J4:J6"/>
    <mergeCell ref="B5:C5"/>
    <mergeCell ref="G4:G6"/>
    <mergeCell ref="F5:F6"/>
    <mergeCell ref="H2:H6"/>
    <mergeCell ref="K3:K6"/>
  </mergeCells>
  <phoneticPr fontId="36" type="noConversion"/>
  <conditionalFormatting sqref="L8:AF20 L22:AF43 L45:AF84 L86:AF108">
    <cfRule type="cellIs" dxfId="6" priority="1" operator="equal">
      <formula>0</formula>
    </cfRule>
  </conditionalFormatting>
  <conditionalFormatting sqref="L110:AF111">
    <cfRule type="cellIs" dxfId="5" priority="2" operator="equal">
      <formula>0</formula>
    </cfRule>
  </conditionalFormatting>
  <pageMargins left="0.7" right="0.7" top="0.75" bottom="0.75" header="0" footer="0"/>
  <pageSetup paperSize="8"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K1000"/>
  <sheetViews>
    <sheetView showGridLines="0" workbookViewId="0"/>
  </sheetViews>
  <sheetFormatPr defaultColWidth="14.44140625" defaultRowHeight="15" customHeight="1" x14ac:dyDescent="0.3"/>
  <cols>
    <col min="1" max="1" width="5.6640625" customWidth="1"/>
    <col min="2" max="26" width="8.6640625" customWidth="1"/>
  </cols>
  <sheetData>
    <row r="1" spans="2:11" ht="13.5" customHeight="1" x14ac:dyDescent="0.3"/>
    <row r="2" spans="2:11" ht="13.5" customHeight="1" x14ac:dyDescent="0.3"/>
    <row r="3" spans="2:11" ht="13.5" customHeight="1" x14ac:dyDescent="0.3"/>
    <row r="4" spans="2:11" ht="13.5" customHeight="1" x14ac:dyDescent="0.3"/>
    <row r="5" spans="2:11" ht="13.5" customHeight="1" x14ac:dyDescent="0.4">
      <c r="B5" s="15" t="s">
        <v>240</v>
      </c>
    </row>
    <row r="6" spans="2:11" ht="13.5" customHeight="1" x14ac:dyDescent="0.3"/>
    <row r="7" spans="2:11" ht="13.5" customHeight="1" x14ac:dyDescent="0.3"/>
    <row r="8" spans="2:11" ht="13.5" customHeight="1" x14ac:dyDescent="0.3">
      <c r="B8" s="65" t="s">
        <v>241</v>
      </c>
      <c r="K8" s="65"/>
    </row>
    <row r="9" spans="2:11" ht="13.5" customHeight="1" x14ac:dyDescent="0.3"/>
    <row r="10" spans="2:11" ht="13.5" customHeight="1" x14ac:dyDescent="0.3"/>
    <row r="11" spans="2:11" ht="13.5" customHeight="1" x14ac:dyDescent="0.3"/>
    <row r="12" spans="2:11" ht="13.5" customHeight="1" x14ac:dyDescent="0.3"/>
    <row r="13" spans="2:11" ht="13.5" customHeight="1" x14ac:dyDescent="0.3"/>
    <row r="14" spans="2:11" ht="13.5" customHeight="1" x14ac:dyDescent="0.3"/>
    <row r="15" spans="2:11" ht="13.5" customHeight="1" x14ac:dyDescent="0.3"/>
    <row r="16" spans="2:11"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pageMargins left="0.7" right="0.7" top="0.75" bottom="0.75" header="0" footer="0"/>
  <pageSetup paperSize="8"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ADB"/>
    <pageSetUpPr fitToPage="1"/>
  </sheetPr>
  <dimension ref="B1:AG1034"/>
  <sheetViews>
    <sheetView showGridLines="0" topLeftCell="B80" workbookViewId="0">
      <selection activeCell="D85" sqref="D85"/>
    </sheetView>
  </sheetViews>
  <sheetFormatPr defaultColWidth="14.44140625" defaultRowHeight="15" customHeight="1" x14ac:dyDescent="0.3"/>
  <cols>
    <col min="1" max="1" width="5.44140625" customWidth="1"/>
    <col min="2" max="3" width="11.44140625" customWidth="1"/>
    <col min="4" max="4" width="39.33203125" customWidth="1"/>
    <col min="5" max="5" width="15" customWidth="1"/>
    <col min="6" max="6" width="13.33203125" customWidth="1"/>
    <col min="7" max="7" width="12.5546875" customWidth="1"/>
    <col min="8" max="11" width="11.5546875" customWidth="1"/>
    <col min="12" max="12" width="6.44140625" customWidth="1"/>
    <col min="13" max="13" width="6.88671875" customWidth="1"/>
    <col min="14" max="14" width="6" customWidth="1"/>
    <col min="15" max="15" width="6.6640625" customWidth="1"/>
    <col min="16" max="16" width="5.5546875" customWidth="1"/>
    <col min="17" max="17" width="6.6640625" customWidth="1"/>
    <col min="18" max="18" width="5.5546875" customWidth="1"/>
    <col min="19" max="19" width="6" customWidth="1"/>
    <col min="20" max="20" width="6.6640625" customWidth="1"/>
    <col min="21" max="21" width="5.88671875" customWidth="1"/>
    <col min="22" max="22" width="6" customWidth="1"/>
    <col min="23" max="23" width="6.33203125" customWidth="1"/>
    <col min="24" max="24" width="5.6640625" customWidth="1"/>
    <col min="25" max="26" width="5.44140625" customWidth="1"/>
    <col min="27" max="27" width="7.109375" customWidth="1"/>
    <col min="28" max="28" width="6.5546875" customWidth="1"/>
    <col min="29" max="29" width="5.44140625" customWidth="1"/>
    <col min="30" max="30" width="6" customWidth="1"/>
    <col min="31" max="31" width="6.109375" customWidth="1"/>
    <col min="32" max="32" width="5.44140625" customWidth="1"/>
  </cols>
  <sheetData>
    <row r="1" spans="2:32" ht="13.5" customHeight="1" x14ac:dyDescent="0.3">
      <c r="B1" s="14"/>
      <c r="C1" s="66"/>
      <c r="E1" s="14"/>
    </row>
    <row r="2" spans="2:32" ht="13.5" customHeight="1" x14ac:dyDescent="0.3">
      <c r="B2" s="14"/>
      <c r="C2" s="66"/>
      <c r="D2" s="1"/>
      <c r="E2" s="14"/>
      <c r="F2" s="1"/>
      <c r="G2" s="1"/>
      <c r="H2" s="215"/>
      <c r="I2" s="1"/>
      <c r="J2" s="1"/>
      <c r="K2" s="1"/>
      <c r="L2" s="1"/>
      <c r="M2" s="1"/>
      <c r="N2" s="1"/>
      <c r="O2" s="1"/>
      <c r="P2" s="1"/>
      <c r="Q2" s="1"/>
      <c r="R2" s="1"/>
      <c r="S2" s="1"/>
      <c r="T2" s="1"/>
      <c r="U2" s="1"/>
      <c r="V2" s="1"/>
      <c r="W2" s="1"/>
      <c r="X2" s="1"/>
      <c r="Y2" s="1"/>
      <c r="Z2" s="1"/>
    </row>
    <row r="3" spans="2:32" ht="13.5" customHeight="1" x14ac:dyDescent="0.3">
      <c r="B3" s="14"/>
      <c r="C3" s="66"/>
      <c r="D3" s="1"/>
      <c r="E3" s="14"/>
      <c r="F3" s="1"/>
      <c r="G3" s="1"/>
      <c r="H3" s="202"/>
      <c r="I3" s="1"/>
      <c r="J3" s="1"/>
      <c r="K3" s="214"/>
      <c r="L3" s="212"/>
      <c r="M3" s="202"/>
      <c r="N3" s="202"/>
      <c r="O3" s="202"/>
      <c r="P3" s="202"/>
      <c r="Q3" s="202"/>
      <c r="R3" s="202"/>
      <c r="S3" s="202"/>
      <c r="T3" s="202"/>
      <c r="U3" s="202"/>
      <c r="V3" s="1"/>
      <c r="W3" s="1"/>
      <c r="X3" s="1"/>
      <c r="Y3" s="1"/>
      <c r="Z3" s="1"/>
    </row>
    <row r="4" spans="2:32" ht="12.75" customHeight="1" x14ac:dyDescent="0.3">
      <c r="B4" s="14"/>
      <c r="C4" s="66"/>
      <c r="D4" s="1"/>
      <c r="E4" s="213"/>
      <c r="F4" s="1"/>
      <c r="G4" s="217"/>
      <c r="H4" s="202"/>
      <c r="I4" s="214"/>
      <c r="J4" s="215" t="s">
        <v>103</v>
      </c>
      <c r="K4" s="202"/>
      <c r="L4" s="202"/>
      <c r="M4" s="202"/>
      <c r="N4" s="202"/>
      <c r="O4" s="202"/>
      <c r="P4" s="202"/>
      <c r="Q4" s="202"/>
      <c r="R4" s="202"/>
      <c r="S4" s="202"/>
      <c r="T4" s="202"/>
      <c r="U4" s="202"/>
      <c r="V4" s="1"/>
      <c r="W4" s="1"/>
      <c r="X4" s="1"/>
      <c r="Y4" s="1"/>
      <c r="Z4" s="1"/>
    </row>
    <row r="5" spans="2:32" ht="18" customHeight="1" x14ac:dyDescent="0.3">
      <c r="B5" s="216" t="s">
        <v>242</v>
      </c>
      <c r="C5" s="202"/>
      <c r="D5" s="1"/>
      <c r="E5" s="202"/>
      <c r="F5" s="218"/>
      <c r="G5" s="202"/>
      <c r="H5" s="202"/>
      <c r="I5" s="202"/>
      <c r="J5" s="202"/>
      <c r="K5" s="202"/>
      <c r="L5" s="202"/>
      <c r="M5" s="202"/>
      <c r="N5" s="202"/>
      <c r="O5" s="202"/>
      <c r="P5" s="202"/>
      <c r="Q5" s="202"/>
      <c r="R5" s="202"/>
      <c r="S5" s="202"/>
      <c r="T5" s="202"/>
      <c r="U5" s="202"/>
      <c r="V5" s="1"/>
      <c r="W5" s="1"/>
      <c r="X5" s="1"/>
      <c r="Y5" s="1"/>
      <c r="Z5" s="1"/>
    </row>
    <row r="6" spans="2:32" ht="13.5" customHeight="1" x14ac:dyDescent="0.3">
      <c r="B6" s="67"/>
      <c r="C6" s="66"/>
      <c r="D6" s="1"/>
      <c r="E6" s="203"/>
      <c r="F6" s="203"/>
      <c r="G6" s="203"/>
      <c r="H6" s="203"/>
      <c r="I6" s="203"/>
      <c r="J6" s="203"/>
      <c r="K6" s="203"/>
      <c r="L6" s="203"/>
      <c r="M6" s="203"/>
      <c r="N6" s="203"/>
      <c r="O6" s="203"/>
      <c r="P6" s="203"/>
      <c r="Q6" s="203"/>
      <c r="R6" s="203"/>
      <c r="S6" s="203"/>
      <c r="T6" s="203"/>
      <c r="U6" s="203"/>
      <c r="V6" s="1"/>
      <c r="W6" s="1"/>
      <c r="X6" s="1"/>
      <c r="Y6" s="1"/>
      <c r="Z6" s="1"/>
    </row>
    <row r="7" spans="2:32" ht="34.5" customHeight="1" x14ac:dyDescent="0.3">
      <c r="B7" s="68" t="s">
        <v>105</v>
      </c>
      <c r="C7" s="68" t="s">
        <v>106</v>
      </c>
      <c r="D7" s="68" t="s">
        <v>107</v>
      </c>
      <c r="E7" s="68" t="s">
        <v>32</v>
      </c>
      <c r="F7" s="68" t="s">
        <v>5</v>
      </c>
      <c r="G7" s="69" t="s">
        <v>108</v>
      </c>
      <c r="H7" s="69" t="s">
        <v>109</v>
      </c>
      <c r="I7" s="69" t="s">
        <v>110</v>
      </c>
      <c r="J7" s="69" t="s">
        <v>111</v>
      </c>
      <c r="K7" s="69" t="s">
        <v>112</v>
      </c>
      <c r="L7" s="70" t="s">
        <v>113</v>
      </c>
      <c r="M7" s="70" t="s">
        <v>114</v>
      </c>
      <c r="N7" s="70" t="s">
        <v>115</v>
      </c>
      <c r="O7" s="70" t="s">
        <v>116</v>
      </c>
      <c r="P7" s="70" t="s">
        <v>117</v>
      </c>
      <c r="Q7" s="70" t="s">
        <v>118</v>
      </c>
      <c r="R7" s="70" t="s">
        <v>119</v>
      </c>
      <c r="S7" s="70" t="s">
        <v>120</v>
      </c>
      <c r="T7" s="70" t="s">
        <v>121</v>
      </c>
      <c r="U7" s="70" t="s">
        <v>122</v>
      </c>
      <c r="V7" s="70" t="s">
        <v>123</v>
      </c>
      <c r="W7" s="70" t="s">
        <v>124</v>
      </c>
      <c r="X7" s="70" t="s">
        <v>125</v>
      </c>
      <c r="Y7" s="70" t="s">
        <v>126</v>
      </c>
      <c r="Z7" s="70" t="s">
        <v>127</v>
      </c>
      <c r="AA7" s="70" t="s">
        <v>128</v>
      </c>
      <c r="AB7" s="70" t="s">
        <v>129</v>
      </c>
      <c r="AC7" s="70" t="s">
        <v>130</v>
      </c>
      <c r="AD7" s="70" t="s">
        <v>131</v>
      </c>
      <c r="AE7" s="70" t="s">
        <v>132</v>
      </c>
      <c r="AF7" s="70" t="s">
        <v>133</v>
      </c>
    </row>
    <row r="8" spans="2:32" ht="13.5" customHeight="1" x14ac:dyDescent="0.3">
      <c r="B8" s="71" t="s">
        <v>134</v>
      </c>
      <c r="C8" s="72"/>
      <c r="D8" s="73" t="s">
        <v>135</v>
      </c>
      <c r="E8" s="74" t="s">
        <v>140</v>
      </c>
      <c r="F8" s="72" t="s">
        <v>137</v>
      </c>
      <c r="G8" s="72">
        <v>8</v>
      </c>
      <c r="H8" s="75">
        <v>8</v>
      </c>
      <c r="I8" s="75">
        <f t="shared" ref="I8:I15" si="0">G8-H8</f>
        <v>0</v>
      </c>
      <c r="J8" s="75">
        <v>8</v>
      </c>
      <c r="K8" s="75">
        <f t="shared" ref="K8:K15" si="1">SUM(J8-G8)</f>
        <v>0</v>
      </c>
      <c r="L8" s="33">
        <v>4</v>
      </c>
      <c r="M8" s="33">
        <v>4</v>
      </c>
      <c r="N8" s="33">
        <v>0</v>
      </c>
      <c r="O8" s="33">
        <v>0</v>
      </c>
      <c r="P8" s="33">
        <v>0</v>
      </c>
      <c r="Q8" s="33">
        <v>0</v>
      </c>
      <c r="R8" s="33">
        <v>0</v>
      </c>
      <c r="S8" s="33">
        <v>0</v>
      </c>
      <c r="T8" s="33">
        <v>0</v>
      </c>
      <c r="U8" s="33">
        <v>0</v>
      </c>
      <c r="V8" s="33">
        <v>0</v>
      </c>
      <c r="W8" s="33">
        <v>0</v>
      </c>
      <c r="X8" s="33">
        <v>0</v>
      </c>
      <c r="Y8" s="33">
        <v>0</v>
      </c>
      <c r="Z8" s="33">
        <v>0</v>
      </c>
      <c r="AA8" s="33">
        <v>0</v>
      </c>
      <c r="AB8" s="33">
        <v>0</v>
      </c>
      <c r="AC8" s="33">
        <v>0</v>
      </c>
      <c r="AD8" s="33">
        <v>0</v>
      </c>
      <c r="AE8" s="33">
        <v>0</v>
      </c>
      <c r="AF8" s="33">
        <v>0</v>
      </c>
    </row>
    <row r="9" spans="2:32" ht="13.5" customHeight="1" x14ac:dyDescent="0.3">
      <c r="B9" s="71" t="s">
        <v>138</v>
      </c>
      <c r="C9" s="72"/>
      <c r="D9" s="49" t="s">
        <v>243</v>
      </c>
      <c r="E9" s="76" t="s">
        <v>140</v>
      </c>
      <c r="F9" s="72" t="s">
        <v>137</v>
      </c>
      <c r="G9" s="72">
        <v>5</v>
      </c>
      <c r="H9" s="75">
        <v>5</v>
      </c>
      <c r="I9" s="75">
        <f t="shared" si="0"/>
        <v>0</v>
      </c>
      <c r="J9" s="75">
        <v>6</v>
      </c>
      <c r="K9" s="75">
        <f t="shared" si="1"/>
        <v>1</v>
      </c>
      <c r="L9" s="33">
        <v>0</v>
      </c>
      <c r="M9" s="33">
        <v>2</v>
      </c>
      <c r="N9" s="33">
        <v>2</v>
      </c>
      <c r="O9" s="33">
        <v>1</v>
      </c>
      <c r="P9" s="33">
        <v>0</v>
      </c>
      <c r="Q9" s="33">
        <v>0</v>
      </c>
      <c r="R9" s="33">
        <v>0</v>
      </c>
      <c r="S9" s="33">
        <v>0</v>
      </c>
      <c r="T9" s="33">
        <v>0</v>
      </c>
      <c r="U9" s="33">
        <v>0</v>
      </c>
      <c r="V9" s="33">
        <v>0</v>
      </c>
      <c r="W9" s="33">
        <v>0</v>
      </c>
      <c r="X9" s="33">
        <v>0</v>
      </c>
      <c r="Y9" s="33">
        <v>0</v>
      </c>
      <c r="Z9" s="33">
        <v>0</v>
      </c>
      <c r="AA9" s="33">
        <v>0</v>
      </c>
      <c r="AB9" s="33">
        <v>0</v>
      </c>
      <c r="AC9" s="33">
        <v>0</v>
      </c>
      <c r="AD9" s="33">
        <v>0</v>
      </c>
      <c r="AE9" s="33">
        <v>0</v>
      </c>
      <c r="AF9" s="33">
        <v>0</v>
      </c>
    </row>
    <row r="10" spans="2:32" ht="13.5" customHeight="1" x14ac:dyDescent="0.3">
      <c r="B10" s="71" t="s">
        <v>141</v>
      </c>
      <c r="C10" s="72"/>
      <c r="D10" s="77" t="s">
        <v>244</v>
      </c>
      <c r="E10" s="184" t="s">
        <v>151</v>
      </c>
      <c r="F10" s="72" t="s">
        <v>137</v>
      </c>
      <c r="G10" s="72">
        <v>8</v>
      </c>
      <c r="H10" s="75">
        <v>8</v>
      </c>
      <c r="I10" s="75">
        <f t="shared" si="0"/>
        <v>0</v>
      </c>
      <c r="J10" s="75">
        <v>10</v>
      </c>
      <c r="K10" s="75">
        <f t="shared" si="1"/>
        <v>2</v>
      </c>
      <c r="L10" s="33">
        <v>0</v>
      </c>
      <c r="M10" s="33">
        <v>0</v>
      </c>
      <c r="N10" s="33">
        <v>4</v>
      </c>
      <c r="O10" s="33">
        <v>4</v>
      </c>
      <c r="P10" s="33">
        <v>0</v>
      </c>
      <c r="Q10" s="33">
        <v>0</v>
      </c>
      <c r="R10" s="33">
        <v>0</v>
      </c>
      <c r="S10" s="33">
        <v>0</v>
      </c>
      <c r="T10" s="33">
        <v>0</v>
      </c>
      <c r="U10" s="33">
        <v>0</v>
      </c>
      <c r="V10" s="33">
        <v>0</v>
      </c>
      <c r="W10" s="33">
        <v>0</v>
      </c>
      <c r="X10" s="33">
        <v>0</v>
      </c>
      <c r="Y10" s="33">
        <v>0</v>
      </c>
      <c r="Z10" s="33">
        <v>0</v>
      </c>
      <c r="AA10" s="33">
        <v>0</v>
      </c>
      <c r="AB10" s="33">
        <v>0</v>
      </c>
      <c r="AC10" s="33">
        <v>0</v>
      </c>
      <c r="AD10" s="33">
        <v>0</v>
      </c>
      <c r="AE10" s="33">
        <v>0</v>
      </c>
      <c r="AF10" s="33">
        <v>0</v>
      </c>
    </row>
    <row r="11" spans="2:32" ht="13.5" customHeight="1" x14ac:dyDescent="0.3">
      <c r="B11" s="71" t="s">
        <v>144</v>
      </c>
      <c r="C11" s="72"/>
      <c r="D11" s="77" t="s">
        <v>245</v>
      </c>
      <c r="E11" s="78" t="s">
        <v>151</v>
      </c>
      <c r="F11" s="72" t="s">
        <v>137</v>
      </c>
      <c r="G11" s="72">
        <v>8</v>
      </c>
      <c r="H11" s="75">
        <v>8</v>
      </c>
      <c r="I11" s="75">
        <f t="shared" si="0"/>
        <v>0</v>
      </c>
      <c r="J11" s="75">
        <v>6</v>
      </c>
      <c r="K11" s="75">
        <f t="shared" si="1"/>
        <v>-2</v>
      </c>
      <c r="L11" s="33">
        <v>0</v>
      </c>
      <c r="M11" s="33">
        <v>0</v>
      </c>
      <c r="N11" s="33">
        <v>2</v>
      </c>
      <c r="O11" s="33">
        <v>2</v>
      </c>
      <c r="P11" s="33">
        <v>2</v>
      </c>
      <c r="Q11" s="33">
        <v>2</v>
      </c>
      <c r="R11" s="33">
        <v>0</v>
      </c>
      <c r="S11" s="33">
        <v>0</v>
      </c>
      <c r="T11" s="33">
        <v>0</v>
      </c>
      <c r="U11" s="33">
        <v>0</v>
      </c>
      <c r="V11" s="33">
        <v>0</v>
      </c>
      <c r="W11" s="33">
        <v>0</v>
      </c>
      <c r="X11" s="33">
        <v>0</v>
      </c>
      <c r="Y11" s="33">
        <v>0</v>
      </c>
      <c r="Z11" s="33">
        <v>0</v>
      </c>
      <c r="AA11" s="33">
        <v>0</v>
      </c>
      <c r="AB11" s="33">
        <v>0</v>
      </c>
      <c r="AC11" s="33">
        <v>0</v>
      </c>
      <c r="AD11" s="33">
        <v>0</v>
      </c>
      <c r="AE11" s="33">
        <v>0</v>
      </c>
      <c r="AF11" s="33">
        <v>0</v>
      </c>
    </row>
    <row r="12" spans="2:32" ht="13.5" customHeight="1" x14ac:dyDescent="0.3">
      <c r="B12" s="71" t="s">
        <v>147</v>
      </c>
      <c r="C12" s="72"/>
      <c r="D12" s="77" t="s">
        <v>246</v>
      </c>
      <c r="E12" s="78" t="s">
        <v>154</v>
      </c>
      <c r="F12" s="72" t="s">
        <v>137</v>
      </c>
      <c r="G12" s="72">
        <v>5</v>
      </c>
      <c r="H12" s="75">
        <v>5</v>
      </c>
      <c r="I12" s="75">
        <f t="shared" si="0"/>
        <v>0</v>
      </c>
      <c r="J12" s="75">
        <v>5</v>
      </c>
      <c r="K12" s="75">
        <f t="shared" si="1"/>
        <v>0</v>
      </c>
      <c r="L12" s="33">
        <v>0</v>
      </c>
      <c r="M12" s="33">
        <v>1</v>
      </c>
      <c r="N12" s="33">
        <v>1</v>
      </c>
      <c r="O12" s="33">
        <v>1</v>
      </c>
      <c r="P12" s="33">
        <v>1</v>
      </c>
      <c r="Q12" s="33">
        <v>1</v>
      </c>
      <c r="R12" s="33">
        <v>0</v>
      </c>
      <c r="S12" s="33">
        <v>0</v>
      </c>
      <c r="T12" s="33">
        <v>0</v>
      </c>
      <c r="U12" s="33">
        <v>0</v>
      </c>
      <c r="V12" s="33">
        <v>0</v>
      </c>
      <c r="W12" s="33">
        <v>0</v>
      </c>
      <c r="X12" s="33">
        <v>0</v>
      </c>
      <c r="Y12" s="33">
        <v>0</v>
      </c>
      <c r="Z12" s="33">
        <v>0</v>
      </c>
      <c r="AA12" s="33">
        <v>0</v>
      </c>
      <c r="AB12" s="33">
        <v>0</v>
      </c>
      <c r="AC12" s="33">
        <v>0</v>
      </c>
      <c r="AD12" s="33">
        <v>0</v>
      </c>
      <c r="AE12" s="33">
        <v>0</v>
      </c>
      <c r="AF12" s="33">
        <v>0</v>
      </c>
    </row>
    <row r="13" spans="2:32" ht="13.5" customHeight="1" x14ac:dyDescent="0.3">
      <c r="B13" s="71" t="s">
        <v>149</v>
      </c>
      <c r="C13" s="72"/>
      <c r="D13" s="77" t="s">
        <v>247</v>
      </c>
      <c r="E13" s="184" t="s">
        <v>143</v>
      </c>
      <c r="F13" s="72" t="s">
        <v>137</v>
      </c>
      <c r="G13" s="72">
        <v>5</v>
      </c>
      <c r="H13" s="75">
        <v>5</v>
      </c>
      <c r="I13" s="75">
        <f t="shared" si="0"/>
        <v>0</v>
      </c>
      <c r="J13" s="75">
        <v>6</v>
      </c>
      <c r="K13" s="75">
        <f t="shared" si="1"/>
        <v>1</v>
      </c>
      <c r="L13" s="33">
        <v>0</v>
      </c>
      <c r="M13" s="33">
        <v>0</v>
      </c>
      <c r="N13" s="33">
        <v>1</v>
      </c>
      <c r="O13" s="33">
        <v>1</v>
      </c>
      <c r="P13" s="33">
        <v>1</v>
      </c>
      <c r="Q13" s="33">
        <v>1</v>
      </c>
      <c r="R13" s="33">
        <v>1</v>
      </c>
      <c r="S13" s="33">
        <v>0</v>
      </c>
      <c r="T13" s="33">
        <v>0</v>
      </c>
      <c r="U13" s="33">
        <v>0</v>
      </c>
      <c r="V13" s="33">
        <v>0</v>
      </c>
      <c r="W13" s="33">
        <v>0</v>
      </c>
      <c r="X13" s="33">
        <v>0</v>
      </c>
      <c r="Y13" s="33">
        <v>0</v>
      </c>
      <c r="Z13" s="33">
        <v>0</v>
      </c>
      <c r="AA13" s="33">
        <v>0</v>
      </c>
      <c r="AB13" s="33">
        <v>0</v>
      </c>
      <c r="AC13" s="33">
        <v>0</v>
      </c>
      <c r="AD13" s="33">
        <v>0</v>
      </c>
      <c r="AE13" s="33">
        <v>0</v>
      </c>
      <c r="AF13" s="33">
        <v>0</v>
      </c>
    </row>
    <row r="14" spans="2:32" ht="13.5" customHeight="1" x14ac:dyDescent="0.3">
      <c r="B14" s="71" t="s">
        <v>152</v>
      </c>
      <c r="C14" s="72"/>
      <c r="D14" s="77" t="s">
        <v>248</v>
      </c>
      <c r="E14" s="78" t="s">
        <v>136</v>
      </c>
      <c r="F14" s="72" t="s">
        <v>137</v>
      </c>
      <c r="G14" s="72">
        <v>10</v>
      </c>
      <c r="H14" s="75">
        <v>12</v>
      </c>
      <c r="I14" s="75">
        <f t="shared" si="0"/>
        <v>-2</v>
      </c>
      <c r="J14" s="75">
        <v>14</v>
      </c>
      <c r="K14" s="75">
        <f t="shared" si="1"/>
        <v>4</v>
      </c>
      <c r="L14" s="33">
        <v>0</v>
      </c>
      <c r="M14" s="33">
        <v>0</v>
      </c>
      <c r="N14" s="33">
        <v>1</v>
      </c>
      <c r="O14" s="33">
        <v>1</v>
      </c>
      <c r="P14" s="33">
        <v>1</v>
      </c>
      <c r="Q14" s="33">
        <v>1</v>
      </c>
      <c r="R14" s="33">
        <v>1</v>
      </c>
      <c r="S14" s="33">
        <v>0</v>
      </c>
      <c r="T14" s="33">
        <v>0</v>
      </c>
      <c r="U14" s="33">
        <v>0</v>
      </c>
      <c r="V14" s="33">
        <v>0</v>
      </c>
      <c r="W14" s="33">
        <v>0</v>
      </c>
      <c r="X14" s="33">
        <v>0</v>
      </c>
      <c r="Y14" s="33">
        <v>0</v>
      </c>
      <c r="Z14" s="33">
        <v>0</v>
      </c>
      <c r="AA14" s="33">
        <v>0</v>
      </c>
      <c r="AB14" s="33">
        <v>0</v>
      </c>
      <c r="AC14" s="33">
        <v>0</v>
      </c>
      <c r="AD14" s="33">
        <v>0</v>
      </c>
      <c r="AE14" s="33">
        <v>0</v>
      </c>
      <c r="AF14" s="33">
        <v>0</v>
      </c>
    </row>
    <row r="15" spans="2:32" ht="13.5" customHeight="1" x14ac:dyDescent="0.3">
      <c r="B15" s="71" t="s">
        <v>155</v>
      </c>
      <c r="C15" s="72"/>
      <c r="D15" s="30" t="s">
        <v>249</v>
      </c>
      <c r="E15" s="183" t="s">
        <v>151</v>
      </c>
      <c r="F15" s="72" t="s">
        <v>137</v>
      </c>
      <c r="G15" s="72">
        <v>10</v>
      </c>
      <c r="H15" s="75">
        <v>10</v>
      </c>
      <c r="I15" s="75">
        <f t="shared" si="0"/>
        <v>0</v>
      </c>
      <c r="J15" s="75">
        <v>12</v>
      </c>
      <c r="K15" s="75">
        <f t="shared" si="1"/>
        <v>2</v>
      </c>
      <c r="L15" s="33">
        <v>0</v>
      </c>
      <c r="M15" s="33">
        <v>0</v>
      </c>
      <c r="N15" s="33">
        <v>0</v>
      </c>
      <c r="O15" s="33">
        <v>0</v>
      </c>
      <c r="P15" s="33">
        <v>2</v>
      </c>
      <c r="Q15" s="33">
        <v>2</v>
      </c>
      <c r="R15" s="33">
        <v>2</v>
      </c>
      <c r="S15" s="33">
        <v>2</v>
      </c>
      <c r="T15" s="33">
        <v>2</v>
      </c>
      <c r="U15" s="33">
        <v>0</v>
      </c>
      <c r="V15" s="33">
        <v>0</v>
      </c>
      <c r="W15" s="33">
        <v>0</v>
      </c>
      <c r="X15" s="33">
        <v>0</v>
      </c>
      <c r="Y15" s="33">
        <v>0</v>
      </c>
      <c r="Z15" s="33">
        <v>0</v>
      </c>
      <c r="AA15" s="33">
        <v>0</v>
      </c>
      <c r="AB15" s="33">
        <v>0</v>
      </c>
      <c r="AC15" s="33">
        <v>0</v>
      </c>
      <c r="AD15" s="33">
        <v>0</v>
      </c>
      <c r="AE15" s="33">
        <v>0</v>
      </c>
      <c r="AF15" s="33">
        <v>0</v>
      </c>
    </row>
    <row r="16" spans="2:32" ht="13.5" customHeight="1" x14ac:dyDescent="0.3">
      <c r="B16" s="79"/>
      <c r="C16" s="80"/>
      <c r="D16" s="81"/>
      <c r="E16" s="82"/>
      <c r="F16" s="83"/>
      <c r="G16" s="83"/>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row>
    <row r="17" spans="2:32" ht="13.5" customHeight="1" x14ac:dyDescent="0.3">
      <c r="B17" s="71" t="s">
        <v>157</v>
      </c>
      <c r="C17" s="177" t="s">
        <v>71</v>
      </c>
      <c r="D17" s="174" t="s">
        <v>603</v>
      </c>
      <c r="E17" s="181" t="s">
        <v>154</v>
      </c>
      <c r="F17" s="72" t="s">
        <v>137</v>
      </c>
      <c r="G17" s="72">
        <v>5</v>
      </c>
      <c r="H17" s="75">
        <v>5</v>
      </c>
      <c r="I17" s="75">
        <f t="shared" ref="I17:I38" si="2">G17-H17</f>
        <v>0</v>
      </c>
      <c r="J17" s="75">
        <v>5</v>
      </c>
      <c r="K17" s="75">
        <f t="shared" ref="K17:K38" si="3">SUM(J17-G17)</f>
        <v>0</v>
      </c>
      <c r="L17" s="33">
        <v>0</v>
      </c>
      <c r="M17" s="33">
        <v>0</v>
      </c>
      <c r="N17" s="33">
        <v>0</v>
      </c>
      <c r="O17" s="33">
        <v>0</v>
      </c>
      <c r="P17" s="33">
        <v>1</v>
      </c>
      <c r="Q17" s="33">
        <v>1</v>
      </c>
      <c r="R17" s="33">
        <v>1</v>
      </c>
      <c r="S17" s="33">
        <v>1</v>
      </c>
      <c r="T17" s="33">
        <v>1</v>
      </c>
      <c r="U17" s="33">
        <v>0</v>
      </c>
      <c r="V17" s="33">
        <v>0</v>
      </c>
      <c r="W17" s="33">
        <v>0</v>
      </c>
      <c r="X17" s="33">
        <v>0</v>
      </c>
      <c r="Y17" s="33">
        <v>0</v>
      </c>
      <c r="Z17" s="33">
        <v>0</v>
      </c>
      <c r="AA17" s="33">
        <v>0</v>
      </c>
      <c r="AB17" s="33">
        <v>0</v>
      </c>
      <c r="AC17" s="33">
        <v>0</v>
      </c>
      <c r="AD17" s="33">
        <v>0</v>
      </c>
      <c r="AE17" s="33">
        <v>0</v>
      </c>
      <c r="AF17" s="33">
        <v>0</v>
      </c>
    </row>
    <row r="18" spans="2:32" ht="13.5" customHeight="1" x14ac:dyDescent="0.3">
      <c r="B18" s="71" t="s">
        <v>159</v>
      </c>
      <c r="C18" s="177" t="s">
        <v>73</v>
      </c>
      <c r="D18" s="173" t="s">
        <v>604</v>
      </c>
      <c r="E18" s="181" t="s">
        <v>154</v>
      </c>
      <c r="F18" s="72" t="s">
        <v>137</v>
      </c>
      <c r="G18" s="72">
        <v>5</v>
      </c>
      <c r="H18" s="75">
        <v>8</v>
      </c>
      <c r="I18" s="75">
        <f t="shared" si="2"/>
        <v>-3</v>
      </c>
      <c r="J18" s="75">
        <v>6</v>
      </c>
      <c r="K18" s="75">
        <f t="shared" si="3"/>
        <v>1</v>
      </c>
      <c r="L18" s="33">
        <v>0</v>
      </c>
      <c r="M18" s="33">
        <v>0</v>
      </c>
      <c r="N18" s="33">
        <v>0</v>
      </c>
      <c r="O18" s="33">
        <v>0</v>
      </c>
      <c r="P18" s="33">
        <v>0</v>
      </c>
      <c r="Q18" s="33">
        <v>1</v>
      </c>
      <c r="R18" s="33">
        <v>1</v>
      </c>
      <c r="S18" s="33">
        <v>2</v>
      </c>
      <c r="T18" s="33">
        <v>2</v>
      </c>
      <c r="U18" s="33">
        <v>2</v>
      </c>
      <c r="V18" s="33">
        <v>0</v>
      </c>
      <c r="W18" s="33">
        <v>0</v>
      </c>
      <c r="X18" s="33">
        <v>0</v>
      </c>
      <c r="Y18" s="33">
        <v>0</v>
      </c>
      <c r="Z18" s="33">
        <v>0</v>
      </c>
      <c r="AA18" s="33">
        <v>0</v>
      </c>
      <c r="AB18" s="33">
        <v>0</v>
      </c>
      <c r="AC18" s="33">
        <v>0</v>
      </c>
      <c r="AD18" s="33">
        <v>0</v>
      </c>
      <c r="AE18" s="33">
        <v>0</v>
      </c>
      <c r="AF18" s="33">
        <v>0</v>
      </c>
    </row>
    <row r="19" spans="2:32" ht="13.5" customHeight="1" x14ac:dyDescent="0.3">
      <c r="B19" s="71" t="s">
        <v>161</v>
      </c>
      <c r="C19" s="177" t="s">
        <v>74</v>
      </c>
      <c r="D19" s="173" t="s">
        <v>605</v>
      </c>
      <c r="E19" s="181" t="s">
        <v>154</v>
      </c>
      <c r="F19" s="72" t="s">
        <v>137</v>
      </c>
      <c r="G19" s="72">
        <v>3</v>
      </c>
      <c r="H19" s="75">
        <v>3</v>
      </c>
      <c r="I19" s="75">
        <f t="shared" si="2"/>
        <v>0</v>
      </c>
      <c r="J19" s="75">
        <v>5</v>
      </c>
      <c r="K19" s="75">
        <f t="shared" si="3"/>
        <v>2</v>
      </c>
      <c r="L19" s="33">
        <v>0</v>
      </c>
      <c r="M19" s="33">
        <v>0</v>
      </c>
      <c r="N19" s="33">
        <v>0</v>
      </c>
      <c r="O19" s="33">
        <v>0</v>
      </c>
      <c r="P19" s="33">
        <v>0</v>
      </c>
      <c r="Q19" s="33">
        <v>1</v>
      </c>
      <c r="R19" s="33">
        <v>0</v>
      </c>
      <c r="S19" s="33">
        <v>1</v>
      </c>
      <c r="T19" s="33">
        <v>1</v>
      </c>
      <c r="U19" s="33">
        <v>0</v>
      </c>
      <c r="V19" s="33">
        <v>0</v>
      </c>
      <c r="W19" s="33">
        <v>0</v>
      </c>
      <c r="X19" s="33">
        <v>0</v>
      </c>
      <c r="Y19" s="33">
        <v>0</v>
      </c>
      <c r="Z19" s="33">
        <v>0</v>
      </c>
      <c r="AA19" s="33">
        <v>0</v>
      </c>
      <c r="AB19" s="33">
        <v>0</v>
      </c>
      <c r="AC19" s="33">
        <v>0</v>
      </c>
      <c r="AD19" s="33">
        <v>0</v>
      </c>
      <c r="AE19" s="33">
        <v>0</v>
      </c>
      <c r="AF19" s="33">
        <v>0</v>
      </c>
    </row>
    <row r="20" spans="2:32" ht="13.5" customHeight="1" x14ac:dyDescent="0.3">
      <c r="B20" s="71" t="s">
        <v>163</v>
      </c>
      <c r="C20" s="177" t="s">
        <v>75</v>
      </c>
      <c r="D20" s="173" t="s">
        <v>606</v>
      </c>
      <c r="E20" s="181" t="s">
        <v>154</v>
      </c>
      <c r="F20" s="72" t="s">
        <v>137</v>
      </c>
      <c r="G20" s="72">
        <v>3</v>
      </c>
      <c r="H20" s="75">
        <v>5</v>
      </c>
      <c r="I20" s="75">
        <f t="shared" si="2"/>
        <v>-2</v>
      </c>
      <c r="J20" s="75">
        <v>8</v>
      </c>
      <c r="K20" s="75">
        <f t="shared" si="3"/>
        <v>5</v>
      </c>
      <c r="L20" s="33">
        <v>0</v>
      </c>
      <c r="M20" s="33">
        <v>0</v>
      </c>
      <c r="N20" s="33">
        <v>0</v>
      </c>
      <c r="O20" s="33">
        <v>0</v>
      </c>
      <c r="P20" s="33">
        <v>0</v>
      </c>
      <c r="Q20" s="33">
        <v>1</v>
      </c>
      <c r="R20" s="33">
        <v>1</v>
      </c>
      <c r="S20" s="33">
        <v>1</v>
      </c>
      <c r="T20" s="33">
        <v>1</v>
      </c>
      <c r="U20" s="33">
        <v>1</v>
      </c>
      <c r="V20" s="33">
        <v>0</v>
      </c>
      <c r="W20" s="33">
        <v>0</v>
      </c>
      <c r="X20" s="33">
        <v>0</v>
      </c>
      <c r="Y20" s="33">
        <v>0</v>
      </c>
      <c r="Z20" s="33">
        <v>0</v>
      </c>
      <c r="AA20" s="33">
        <v>0</v>
      </c>
      <c r="AB20" s="33">
        <v>0</v>
      </c>
      <c r="AC20" s="33">
        <v>0</v>
      </c>
      <c r="AD20" s="33">
        <v>0</v>
      </c>
      <c r="AE20" s="33">
        <v>0</v>
      </c>
      <c r="AF20" s="33">
        <v>0</v>
      </c>
    </row>
    <row r="21" spans="2:32" ht="13.5" customHeight="1" x14ac:dyDescent="0.3">
      <c r="B21" s="71" t="s">
        <v>165</v>
      </c>
      <c r="C21" s="177" t="s">
        <v>78</v>
      </c>
      <c r="D21" s="173" t="s">
        <v>607</v>
      </c>
      <c r="E21" s="181" t="s">
        <v>154</v>
      </c>
      <c r="F21" s="72" t="s">
        <v>137</v>
      </c>
      <c r="G21" s="72">
        <v>5</v>
      </c>
      <c r="H21" s="75">
        <v>5</v>
      </c>
      <c r="I21" s="75">
        <f t="shared" si="2"/>
        <v>0</v>
      </c>
      <c r="J21" s="75">
        <v>4</v>
      </c>
      <c r="K21" s="75">
        <f t="shared" si="3"/>
        <v>-1</v>
      </c>
      <c r="L21" s="33">
        <v>0</v>
      </c>
      <c r="M21" s="33">
        <v>0</v>
      </c>
      <c r="N21" s="33">
        <v>0</v>
      </c>
      <c r="O21" s="33">
        <v>0</v>
      </c>
      <c r="P21" s="33">
        <v>0</v>
      </c>
      <c r="Q21" s="33">
        <v>0</v>
      </c>
      <c r="R21" s="33">
        <v>1</v>
      </c>
      <c r="S21" s="33">
        <v>1</v>
      </c>
      <c r="T21" s="33">
        <v>1</v>
      </c>
      <c r="U21" s="33">
        <v>1</v>
      </c>
      <c r="V21" s="33">
        <v>1</v>
      </c>
      <c r="W21" s="33">
        <v>0</v>
      </c>
      <c r="X21" s="33">
        <v>0</v>
      </c>
      <c r="Y21" s="33">
        <v>0</v>
      </c>
      <c r="Z21" s="33">
        <v>0</v>
      </c>
      <c r="AA21" s="33">
        <v>0</v>
      </c>
      <c r="AB21" s="33">
        <v>0</v>
      </c>
      <c r="AC21" s="33">
        <v>0</v>
      </c>
      <c r="AD21" s="33">
        <v>0</v>
      </c>
      <c r="AE21" s="33">
        <v>0</v>
      </c>
      <c r="AF21" s="33">
        <v>0</v>
      </c>
    </row>
    <row r="22" spans="2:32" ht="13.5" customHeight="1" x14ac:dyDescent="0.3">
      <c r="B22" s="71" t="s">
        <v>167</v>
      </c>
      <c r="C22" s="177" t="s">
        <v>79</v>
      </c>
      <c r="D22" s="173" t="s">
        <v>676</v>
      </c>
      <c r="E22" s="181" t="s">
        <v>154</v>
      </c>
      <c r="F22" s="72" t="s">
        <v>137</v>
      </c>
      <c r="G22" s="72"/>
      <c r="H22" s="75"/>
      <c r="I22" s="75"/>
      <c r="J22" s="75"/>
      <c r="K22" s="75"/>
      <c r="L22" s="33"/>
      <c r="M22" s="33"/>
      <c r="N22" s="33"/>
      <c r="O22" s="33"/>
      <c r="P22" s="33"/>
      <c r="Q22" s="33"/>
      <c r="R22" s="33"/>
      <c r="S22" s="33"/>
      <c r="T22" s="33"/>
      <c r="U22" s="33"/>
      <c r="V22" s="33"/>
      <c r="W22" s="33"/>
      <c r="X22" s="33"/>
      <c r="Y22" s="33"/>
      <c r="Z22" s="33"/>
      <c r="AA22" s="33"/>
      <c r="AB22" s="33"/>
      <c r="AC22" s="33"/>
      <c r="AD22" s="33"/>
      <c r="AE22" s="33"/>
      <c r="AF22" s="33"/>
    </row>
    <row r="23" spans="2:32" ht="13.5" customHeight="1" x14ac:dyDescent="0.3">
      <c r="B23" s="71" t="s">
        <v>169</v>
      </c>
      <c r="C23" s="177" t="s">
        <v>83</v>
      </c>
      <c r="D23" s="174" t="s">
        <v>608</v>
      </c>
      <c r="E23" s="181" t="s">
        <v>154</v>
      </c>
      <c r="F23" s="72" t="s">
        <v>137</v>
      </c>
      <c r="G23" s="72">
        <v>5</v>
      </c>
      <c r="H23" s="75">
        <v>5</v>
      </c>
      <c r="I23" s="75">
        <f t="shared" si="2"/>
        <v>0</v>
      </c>
      <c r="J23" s="75">
        <v>6</v>
      </c>
      <c r="K23" s="75">
        <f t="shared" si="3"/>
        <v>1</v>
      </c>
      <c r="L23" s="33">
        <v>0</v>
      </c>
      <c r="M23" s="33">
        <v>0</v>
      </c>
      <c r="N23" s="33">
        <v>0</v>
      </c>
      <c r="O23" s="33">
        <v>0</v>
      </c>
      <c r="P23" s="33">
        <v>0</v>
      </c>
      <c r="Q23" s="33">
        <v>1</v>
      </c>
      <c r="R23" s="33">
        <v>1</v>
      </c>
      <c r="S23" s="33">
        <v>1</v>
      </c>
      <c r="T23" s="33">
        <v>1</v>
      </c>
      <c r="U23" s="33">
        <v>0</v>
      </c>
      <c r="V23" s="33">
        <v>1</v>
      </c>
      <c r="W23" s="33">
        <v>0</v>
      </c>
      <c r="X23" s="33">
        <v>0</v>
      </c>
      <c r="Y23" s="33">
        <v>0</v>
      </c>
      <c r="Z23" s="33">
        <v>0</v>
      </c>
      <c r="AA23" s="33">
        <v>0</v>
      </c>
      <c r="AB23" s="33">
        <v>0</v>
      </c>
      <c r="AC23" s="33">
        <v>0</v>
      </c>
      <c r="AD23" s="33">
        <v>0</v>
      </c>
      <c r="AE23" s="33">
        <v>0</v>
      </c>
      <c r="AF23" s="33">
        <v>0</v>
      </c>
    </row>
    <row r="24" spans="2:32" ht="13.5" customHeight="1" x14ac:dyDescent="0.3">
      <c r="B24" s="71" t="s">
        <v>171</v>
      </c>
      <c r="C24" s="177" t="s">
        <v>87</v>
      </c>
      <c r="D24" s="174" t="s">
        <v>609</v>
      </c>
      <c r="E24" s="181" t="s">
        <v>154</v>
      </c>
      <c r="F24" s="72" t="s">
        <v>137</v>
      </c>
      <c r="G24" s="72">
        <v>5</v>
      </c>
      <c r="H24" s="75">
        <v>6</v>
      </c>
      <c r="I24" s="75">
        <f t="shared" si="2"/>
        <v>-1</v>
      </c>
      <c r="J24" s="75">
        <v>8</v>
      </c>
      <c r="K24" s="75">
        <f t="shared" si="3"/>
        <v>3</v>
      </c>
      <c r="L24" s="33">
        <v>0</v>
      </c>
      <c r="M24" s="33">
        <v>0</v>
      </c>
      <c r="N24" s="33">
        <v>0</v>
      </c>
      <c r="O24" s="33">
        <v>0</v>
      </c>
      <c r="P24" s="33">
        <v>0</v>
      </c>
      <c r="Q24" s="33">
        <v>2</v>
      </c>
      <c r="R24" s="33">
        <v>2</v>
      </c>
      <c r="S24" s="33">
        <v>2</v>
      </c>
      <c r="T24" s="33">
        <v>0</v>
      </c>
      <c r="U24" s="33">
        <v>0</v>
      </c>
      <c r="V24" s="33"/>
      <c r="W24" s="33">
        <v>0</v>
      </c>
      <c r="X24" s="33">
        <v>0</v>
      </c>
      <c r="Y24" s="33">
        <v>0</v>
      </c>
      <c r="Z24" s="33">
        <v>0</v>
      </c>
      <c r="AA24" s="33">
        <v>0</v>
      </c>
      <c r="AB24" s="33">
        <v>0</v>
      </c>
      <c r="AC24" s="33">
        <v>0</v>
      </c>
      <c r="AD24" s="33">
        <v>0</v>
      </c>
      <c r="AE24" s="33">
        <v>0</v>
      </c>
      <c r="AF24" s="33">
        <v>0</v>
      </c>
    </row>
    <row r="25" spans="2:32" ht="13.2" customHeight="1" x14ac:dyDescent="0.3">
      <c r="B25" s="71" t="s">
        <v>172</v>
      </c>
      <c r="C25" s="177" t="s">
        <v>88</v>
      </c>
      <c r="D25" s="173" t="s">
        <v>250</v>
      </c>
      <c r="E25" s="181" t="s">
        <v>143</v>
      </c>
      <c r="F25" s="72" t="s">
        <v>137</v>
      </c>
      <c r="G25" s="72">
        <v>5</v>
      </c>
      <c r="H25" s="75">
        <v>5</v>
      </c>
      <c r="I25" s="75">
        <f t="shared" si="2"/>
        <v>0</v>
      </c>
      <c r="J25" s="75">
        <v>5</v>
      </c>
      <c r="K25" s="75">
        <f t="shared" si="3"/>
        <v>0</v>
      </c>
      <c r="L25" s="33">
        <v>0</v>
      </c>
      <c r="M25" s="33">
        <v>0</v>
      </c>
      <c r="N25" s="33">
        <v>0</v>
      </c>
      <c r="O25" s="33">
        <v>0</v>
      </c>
      <c r="P25" s="33">
        <v>0</v>
      </c>
      <c r="Q25" s="33">
        <v>0</v>
      </c>
      <c r="R25" s="33">
        <v>1</v>
      </c>
      <c r="S25" s="33">
        <v>1</v>
      </c>
      <c r="T25" s="33">
        <v>0</v>
      </c>
      <c r="U25" s="33">
        <v>1</v>
      </c>
      <c r="V25" s="33">
        <v>1</v>
      </c>
      <c r="W25" s="33">
        <v>1</v>
      </c>
      <c r="X25" s="33">
        <v>0</v>
      </c>
      <c r="Y25" s="33">
        <v>0</v>
      </c>
      <c r="Z25" s="33">
        <v>0</v>
      </c>
      <c r="AA25" s="33">
        <v>0</v>
      </c>
      <c r="AB25" s="33">
        <v>0</v>
      </c>
      <c r="AC25" s="33">
        <v>0</v>
      </c>
      <c r="AD25" s="33">
        <v>0</v>
      </c>
      <c r="AE25" s="33">
        <v>0</v>
      </c>
      <c r="AF25" s="33">
        <v>0</v>
      </c>
    </row>
    <row r="26" spans="2:32" ht="13.5" customHeight="1" x14ac:dyDescent="0.3">
      <c r="B26" s="71" t="s">
        <v>173</v>
      </c>
      <c r="C26" s="177" t="s">
        <v>90</v>
      </c>
      <c r="D26" s="174" t="s">
        <v>251</v>
      </c>
      <c r="E26" s="181" t="s">
        <v>143</v>
      </c>
      <c r="F26" s="72" t="s">
        <v>137</v>
      </c>
      <c r="G26" s="72">
        <v>5</v>
      </c>
      <c r="H26" s="75">
        <v>5</v>
      </c>
      <c r="I26" s="75">
        <f t="shared" si="2"/>
        <v>0</v>
      </c>
      <c r="J26" s="75">
        <v>5</v>
      </c>
      <c r="K26" s="75">
        <f t="shared" si="3"/>
        <v>0</v>
      </c>
      <c r="L26" s="33">
        <v>0</v>
      </c>
      <c r="M26" s="33">
        <v>0</v>
      </c>
      <c r="N26" s="33">
        <v>0</v>
      </c>
      <c r="O26" s="33">
        <v>0</v>
      </c>
      <c r="P26" s="33">
        <v>0</v>
      </c>
      <c r="Q26" s="33">
        <v>0</v>
      </c>
      <c r="R26" s="33">
        <v>0</v>
      </c>
      <c r="S26" s="33">
        <v>0</v>
      </c>
      <c r="T26" s="33">
        <v>1</v>
      </c>
      <c r="U26" s="33">
        <v>2</v>
      </c>
      <c r="V26" s="33">
        <v>0</v>
      </c>
      <c r="W26" s="33">
        <v>2</v>
      </c>
      <c r="X26" s="33">
        <v>0</v>
      </c>
      <c r="Y26" s="33">
        <v>0</v>
      </c>
      <c r="Z26" s="33">
        <v>0</v>
      </c>
      <c r="AA26" s="33">
        <v>0</v>
      </c>
      <c r="AB26" s="33">
        <v>0</v>
      </c>
      <c r="AC26" s="33">
        <v>0</v>
      </c>
      <c r="AD26" s="33">
        <v>0</v>
      </c>
      <c r="AE26" s="33">
        <v>0</v>
      </c>
      <c r="AF26" s="33">
        <v>0</v>
      </c>
    </row>
    <row r="27" spans="2:32" ht="13.5" customHeight="1" x14ac:dyDescent="0.3">
      <c r="B27" s="71" t="s">
        <v>175</v>
      </c>
      <c r="C27" s="177" t="s">
        <v>93</v>
      </c>
      <c r="D27" s="174" t="s">
        <v>610</v>
      </c>
      <c r="E27" s="181" t="s">
        <v>143</v>
      </c>
      <c r="F27" s="72" t="s">
        <v>137</v>
      </c>
      <c r="G27" s="72">
        <v>5</v>
      </c>
      <c r="H27" s="75">
        <v>5</v>
      </c>
      <c r="I27" s="75">
        <f t="shared" si="2"/>
        <v>0</v>
      </c>
      <c r="J27" s="75">
        <v>4</v>
      </c>
      <c r="K27" s="75">
        <f t="shared" si="3"/>
        <v>-1</v>
      </c>
      <c r="L27" s="33">
        <v>0</v>
      </c>
      <c r="M27" s="33">
        <v>0</v>
      </c>
      <c r="N27" s="33">
        <v>0</v>
      </c>
      <c r="O27" s="33">
        <v>0</v>
      </c>
      <c r="P27" s="33">
        <v>0</v>
      </c>
      <c r="Q27" s="33">
        <v>0</v>
      </c>
      <c r="R27" s="33">
        <v>0</v>
      </c>
      <c r="S27" s="33">
        <v>0</v>
      </c>
      <c r="T27" s="33">
        <v>0</v>
      </c>
      <c r="U27" s="33">
        <v>0</v>
      </c>
      <c r="V27" s="33">
        <v>1</v>
      </c>
      <c r="W27" s="33">
        <v>2</v>
      </c>
      <c r="X27" s="33">
        <v>2</v>
      </c>
      <c r="Y27" s="33">
        <v>0</v>
      </c>
      <c r="Z27" s="33">
        <v>0</v>
      </c>
      <c r="AA27" s="33">
        <v>0</v>
      </c>
      <c r="AB27" s="33">
        <v>0</v>
      </c>
      <c r="AC27" s="33">
        <v>0</v>
      </c>
      <c r="AD27" s="33">
        <v>0</v>
      </c>
      <c r="AE27" s="33">
        <v>0</v>
      </c>
      <c r="AF27" s="33">
        <v>0</v>
      </c>
    </row>
    <row r="28" spans="2:32" ht="13.5" customHeight="1" x14ac:dyDescent="0.3">
      <c r="B28" s="71" t="s">
        <v>177</v>
      </c>
      <c r="C28" s="177" t="s">
        <v>94</v>
      </c>
      <c r="D28" s="174" t="s">
        <v>611</v>
      </c>
      <c r="E28" s="181" t="s">
        <v>143</v>
      </c>
      <c r="F28" s="72" t="s">
        <v>137</v>
      </c>
      <c r="G28" s="72"/>
      <c r="H28" s="75"/>
      <c r="I28" s="75"/>
      <c r="J28" s="75"/>
      <c r="K28" s="75"/>
      <c r="L28" s="33"/>
      <c r="M28" s="33"/>
      <c r="N28" s="33"/>
      <c r="O28" s="33"/>
      <c r="P28" s="33"/>
      <c r="Q28" s="33"/>
      <c r="R28" s="33"/>
      <c r="S28" s="33"/>
      <c r="T28" s="33"/>
      <c r="U28" s="33"/>
      <c r="V28" s="33"/>
      <c r="W28" s="33"/>
      <c r="X28" s="33"/>
      <c r="Y28" s="33"/>
      <c r="Z28" s="33"/>
      <c r="AA28" s="33"/>
      <c r="AB28" s="33"/>
      <c r="AC28" s="33"/>
      <c r="AD28" s="33"/>
      <c r="AE28" s="33"/>
      <c r="AF28" s="33"/>
    </row>
    <row r="29" spans="2:32" ht="13.5" customHeight="1" x14ac:dyDescent="0.3">
      <c r="B29" s="71" t="s">
        <v>179</v>
      </c>
      <c r="C29" s="177" t="s">
        <v>95</v>
      </c>
      <c r="D29" s="174" t="s">
        <v>612</v>
      </c>
      <c r="E29" s="181" t="s">
        <v>143</v>
      </c>
      <c r="F29" s="72" t="s">
        <v>137</v>
      </c>
      <c r="G29" s="72"/>
      <c r="H29" s="75"/>
      <c r="I29" s="75"/>
      <c r="J29" s="75"/>
      <c r="K29" s="75"/>
      <c r="L29" s="33"/>
      <c r="M29" s="33"/>
      <c r="N29" s="33"/>
      <c r="O29" s="33"/>
      <c r="P29" s="33"/>
      <c r="Q29" s="33"/>
      <c r="R29" s="33"/>
      <c r="S29" s="33"/>
      <c r="T29" s="33"/>
      <c r="U29" s="33"/>
      <c r="V29" s="33"/>
      <c r="W29" s="33"/>
      <c r="X29" s="33"/>
      <c r="Y29" s="33"/>
      <c r="Z29" s="33"/>
      <c r="AA29" s="33"/>
      <c r="AB29" s="33"/>
      <c r="AC29" s="33"/>
      <c r="AD29" s="33"/>
      <c r="AE29" s="33"/>
      <c r="AF29" s="33"/>
    </row>
    <row r="30" spans="2:32" ht="13.5" customHeight="1" x14ac:dyDescent="0.3">
      <c r="B30" s="71" t="s">
        <v>180</v>
      </c>
      <c r="C30" s="177" t="s">
        <v>96</v>
      </c>
      <c r="D30" s="174" t="s">
        <v>303</v>
      </c>
      <c r="E30" s="181" t="s">
        <v>143</v>
      </c>
      <c r="F30" s="72" t="s">
        <v>137</v>
      </c>
      <c r="G30" s="72">
        <v>3</v>
      </c>
      <c r="H30" s="75">
        <v>5</v>
      </c>
      <c r="I30" s="75">
        <f t="shared" si="2"/>
        <v>-2</v>
      </c>
      <c r="J30" s="75">
        <v>6</v>
      </c>
      <c r="K30" s="75">
        <f t="shared" si="3"/>
        <v>3</v>
      </c>
      <c r="L30" s="33">
        <v>0</v>
      </c>
      <c r="M30" s="33">
        <v>0</v>
      </c>
      <c r="N30" s="33">
        <v>0</v>
      </c>
      <c r="O30" s="33">
        <v>0</v>
      </c>
      <c r="P30" s="33">
        <v>0</v>
      </c>
      <c r="Q30" s="33">
        <v>0</v>
      </c>
      <c r="R30" s="33">
        <v>0</v>
      </c>
      <c r="S30" s="33">
        <v>0</v>
      </c>
      <c r="T30" s="33">
        <v>0</v>
      </c>
      <c r="U30" s="33">
        <v>0</v>
      </c>
      <c r="V30" s="33">
        <v>2</v>
      </c>
      <c r="W30" s="33">
        <v>1</v>
      </c>
      <c r="X30" s="33">
        <v>1</v>
      </c>
      <c r="Y30" s="33">
        <v>1</v>
      </c>
      <c r="Z30" s="33">
        <v>0</v>
      </c>
      <c r="AA30" s="33">
        <v>0</v>
      </c>
      <c r="AB30" s="33">
        <v>0</v>
      </c>
      <c r="AC30" s="33">
        <v>0</v>
      </c>
      <c r="AD30" s="33">
        <v>0</v>
      </c>
      <c r="AE30" s="33">
        <v>0</v>
      </c>
      <c r="AF30" s="33">
        <v>0</v>
      </c>
    </row>
    <row r="31" spans="2:32" ht="13.2" customHeight="1" x14ac:dyDescent="0.3">
      <c r="B31" s="71" t="s">
        <v>182</v>
      </c>
      <c r="C31" s="177" t="s">
        <v>97</v>
      </c>
      <c r="D31" s="174" t="s">
        <v>613</v>
      </c>
      <c r="E31" s="181" t="s">
        <v>143</v>
      </c>
      <c r="F31" s="72" t="s">
        <v>137</v>
      </c>
      <c r="G31" s="72"/>
      <c r="H31" s="75"/>
      <c r="I31" s="75"/>
      <c r="J31" s="75"/>
      <c r="K31" s="75"/>
      <c r="L31" s="33"/>
      <c r="M31" s="33"/>
      <c r="N31" s="33"/>
      <c r="O31" s="33"/>
      <c r="P31" s="33"/>
      <c r="Q31" s="33"/>
      <c r="R31" s="33"/>
      <c r="S31" s="33"/>
      <c r="T31" s="33"/>
      <c r="U31" s="33"/>
      <c r="V31" s="33"/>
      <c r="W31" s="33"/>
      <c r="X31" s="33"/>
      <c r="Y31" s="33"/>
      <c r="Z31" s="33"/>
      <c r="AA31" s="33"/>
      <c r="AB31" s="33"/>
      <c r="AC31" s="33"/>
      <c r="AD31" s="33"/>
      <c r="AE31" s="33"/>
      <c r="AF31" s="33"/>
    </row>
    <row r="32" spans="2:32" ht="13.2" customHeight="1" x14ac:dyDescent="0.3">
      <c r="B32" s="71" t="s">
        <v>183</v>
      </c>
      <c r="C32" s="177" t="s">
        <v>100</v>
      </c>
      <c r="D32" s="174" t="s">
        <v>625</v>
      </c>
      <c r="E32" s="181" t="s">
        <v>146</v>
      </c>
      <c r="F32" s="72" t="s">
        <v>137</v>
      </c>
      <c r="G32" s="72"/>
      <c r="H32" s="75"/>
      <c r="I32" s="75"/>
      <c r="J32" s="75"/>
      <c r="K32" s="75"/>
      <c r="L32" s="33"/>
      <c r="M32" s="33"/>
      <c r="N32" s="33"/>
      <c r="O32" s="33"/>
      <c r="P32" s="33"/>
      <c r="Q32" s="33"/>
      <c r="R32" s="33"/>
      <c r="S32" s="33"/>
      <c r="T32" s="33"/>
      <c r="U32" s="33"/>
      <c r="V32" s="33"/>
      <c r="W32" s="33"/>
      <c r="X32" s="33"/>
      <c r="Y32" s="33"/>
      <c r="Z32" s="33"/>
      <c r="AA32" s="33"/>
      <c r="AB32" s="33"/>
      <c r="AC32" s="33"/>
      <c r="AD32" s="33"/>
      <c r="AE32" s="33"/>
      <c r="AF32" s="33"/>
    </row>
    <row r="33" spans="2:32" ht="13.2" customHeight="1" x14ac:dyDescent="0.3">
      <c r="B33" s="71" t="s">
        <v>184</v>
      </c>
      <c r="C33" s="177" t="s">
        <v>101</v>
      </c>
      <c r="D33" s="174" t="s">
        <v>626</v>
      </c>
      <c r="E33" s="181" t="s">
        <v>146</v>
      </c>
      <c r="F33" s="72" t="s">
        <v>137</v>
      </c>
      <c r="G33" s="72"/>
      <c r="H33" s="75"/>
      <c r="I33" s="75"/>
      <c r="J33" s="75"/>
      <c r="K33" s="75"/>
      <c r="L33" s="33"/>
      <c r="M33" s="33"/>
      <c r="N33" s="33"/>
      <c r="O33" s="33"/>
      <c r="P33" s="33"/>
      <c r="Q33" s="33"/>
      <c r="R33" s="33"/>
      <c r="S33" s="33"/>
      <c r="T33" s="33"/>
      <c r="U33" s="33"/>
      <c r="V33" s="33"/>
      <c r="W33" s="33"/>
      <c r="X33" s="33"/>
      <c r="Y33" s="33"/>
      <c r="Z33" s="33"/>
      <c r="AA33" s="33"/>
      <c r="AB33" s="33"/>
      <c r="AC33" s="33"/>
      <c r="AD33" s="33"/>
      <c r="AE33" s="33"/>
      <c r="AF33" s="33"/>
    </row>
    <row r="34" spans="2:32" ht="13.2" customHeight="1" x14ac:dyDescent="0.3">
      <c r="B34" s="71" t="s">
        <v>186</v>
      </c>
      <c r="C34" s="177" t="s">
        <v>390</v>
      </c>
      <c r="D34" s="174" t="s">
        <v>614</v>
      </c>
      <c r="E34" s="181" t="s">
        <v>151</v>
      </c>
      <c r="F34" s="72" t="s">
        <v>137</v>
      </c>
      <c r="G34" s="72"/>
      <c r="H34" s="75"/>
      <c r="I34" s="75"/>
      <c r="J34" s="75"/>
      <c r="K34" s="75"/>
      <c r="L34" s="33"/>
      <c r="M34" s="33"/>
      <c r="N34" s="33"/>
      <c r="O34" s="33"/>
      <c r="P34" s="33"/>
      <c r="Q34" s="33"/>
      <c r="R34" s="33"/>
      <c r="S34" s="33"/>
      <c r="T34" s="33"/>
      <c r="U34" s="33"/>
      <c r="V34" s="33"/>
      <c r="W34" s="33"/>
      <c r="X34" s="33"/>
      <c r="Y34" s="33"/>
      <c r="Z34" s="33"/>
      <c r="AA34" s="33"/>
      <c r="AB34" s="33"/>
      <c r="AC34" s="33"/>
      <c r="AD34" s="33"/>
      <c r="AE34" s="33"/>
      <c r="AF34" s="33"/>
    </row>
    <row r="35" spans="2:32" ht="13.5" customHeight="1" x14ac:dyDescent="0.3">
      <c r="B35" s="71" t="s">
        <v>188</v>
      </c>
      <c r="C35" s="177" t="s">
        <v>391</v>
      </c>
      <c r="D35" s="174" t="s">
        <v>615</v>
      </c>
      <c r="E35" s="181" t="s">
        <v>151</v>
      </c>
      <c r="F35" s="72" t="s">
        <v>137</v>
      </c>
      <c r="G35" s="72"/>
      <c r="H35" s="75"/>
      <c r="I35" s="75"/>
      <c r="J35" s="75"/>
      <c r="K35" s="75"/>
      <c r="L35" s="33"/>
      <c r="M35" s="33"/>
      <c r="N35" s="33"/>
      <c r="O35" s="33"/>
      <c r="P35" s="33"/>
      <c r="Q35" s="33"/>
      <c r="R35" s="33"/>
      <c r="S35" s="33"/>
      <c r="T35" s="33"/>
      <c r="U35" s="33"/>
      <c r="V35" s="33"/>
      <c r="W35" s="33"/>
      <c r="X35" s="33"/>
      <c r="Y35" s="33"/>
      <c r="Z35" s="33"/>
      <c r="AA35" s="33"/>
      <c r="AB35" s="33"/>
      <c r="AC35" s="33"/>
      <c r="AD35" s="33"/>
      <c r="AE35" s="33"/>
      <c r="AF35" s="33"/>
    </row>
    <row r="36" spans="2:32" ht="13.5" customHeight="1" x14ac:dyDescent="0.3">
      <c r="B36" s="71" t="s">
        <v>190</v>
      </c>
      <c r="C36" s="177" t="s">
        <v>392</v>
      </c>
      <c r="D36" s="179" t="s">
        <v>252</v>
      </c>
      <c r="E36" s="181" t="s">
        <v>136</v>
      </c>
      <c r="F36" s="72" t="s">
        <v>137</v>
      </c>
      <c r="G36" s="72"/>
      <c r="H36" s="75"/>
      <c r="I36" s="75"/>
      <c r="J36" s="75"/>
      <c r="K36" s="75"/>
      <c r="L36" s="33"/>
      <c r="M36" s="33"/>
      <c r="N36" s="33"/>
      <c r="O36" s="33"/>
      <c r="P36" s="33"/>
      <c r="Q36" s="33"/>
      <c r="R36" s="33"/>
      <c r="S36" s="33"/>
      <c r="T36" s="33"/>
      <c r="U36" s="33"/>
      <c r="V36" s="33"/>
      <c r="W36" s="33"/>
      <c r="X36" s="33"/>
      <c r="Y36" s="33"/>
      <c r="Z36" s="33"/>
      <c r="AA36" s="33"/>
      <c r="AB36" s="33"/>
      <c r="AC36" s="33"/>
      <c r="AD36" s="33"/>
      <c r="AE36" s="33"/>
      <c r="AF36" s="33"/>
    </row>
    <row r="37" spans="2:32" ht="13.5" customHeight="1" x14ac:dyDescent="0.3">
      <c r="B37" s="71" t="s">
        <v>192</v>
      </c>
      <c r="C37" s="177" t="s">
        <v>414</v>
      </c>
      <c r="D37" s="179" t="s">
        <v>253</v>
      </c>
      <c r="E37" s="181" t="s">
        <v>136</v>
      </c>
      <c r="F37" s="72" t="s">
        <v>137</v>
      </c>
      <c r="G37" s="72"/>
      <c r="H37" s="75"/>
      <c r="I37" s="75"/>
      <c r="J37" s="75"/>
      <c r="K37" s="75"/>
      <c r="L37" s="33"/>
      <c r="M37" s="33"/>
      <c r="N37" s="33"/>
      <c r="O37" s="33"/>
      <c r="P37" s="33"/>
      <c r="Q37" s="33"/>
      <c r="R37" s="33"/>
      <c r="S37" s="33"/>
      <c r="T37" s="33"/>
      <c r="U37" s="33"/>
      <c r="V37" s="33"/>
      <c r="W37" s="33"/>
      <c r="X37" s="33"/>
      <c r="Y37" s="33"/>
      <c r="Z37" s="33"/>
      <c r="AA37" s="33"/>
      <c r="AB37" s="33"/>
      <c r="AC37" s="33"/>
      <c r="AD37" s="33"/>
      <c r="AE37" s="33"/>
      <c r="AF37" s="33"/>
    </row>
    <row r="38" spans="2:32" ht="13.5" customHeight="1" x14ac:dyDescent="0.3">
      <c r="B38" s="71" t="s">
        <v>193</v>
      </c>
      <c r="C38" s="177" t="s">
        <v>415</v>
      </c>
      <c r="D38" s="84" t="s">
        <v>254</v>
      </c>
      <c r="E38" s="181" t="s">
        <v>136</v>
      </c>
      <c r="F38" s="72" t="s">
        <v>137</v>
      </c>
      <c r="G38" s="72">
        <v>5</v>
      </c>
      <c r="H38" s="75">
        <v>6</v>
      </c>
      <c r="I38" s="75">
        <f t="shared" si="2"/>
        <v>-1</v>
      </c>
      <c r="J38" s="75">
        <v>7</v>
      </c>
      <c r="K38" s="75">
        <f t="shared" si="3"/>
        <v>2</v>
      </c>
      <c r="L38" s="33">
        <v>0</v>
      </c>
      <c r="M38" s="33">
        <v>0</v>
      </c>
      <c r="N38" s="33">
        <v>0</v>
      </c>
      <c r="O38" s="33">
        <v>0</v>
      </c>
      <c r="P38" s="33">
        <v>0</v>
      </c>
      <c r="Q38" s="33">
        <v>0</v>
      </c>
      <c r="R38" s="33">
        <v>0</v>
      </c>
      <c r="S38" s="33">
        <v>0</v>
      </c>
      <c r="T38" s="33">
        <v>0</v>
      </c>
      <c r="U38" s="33">
        <v>0</v>
      </c>
      <c r="V38" s="33">
        <v>0</v>
      </c>
      <c r="W38" s="33">
        <v>0</v>
      </c>
      <c r="X38" s="33">
        <v>2</v>
      </c>
      <c r="Y38" s="33">
        <v>2</v>
      </c>
      <c r="Z38" s="33">
        <v>2</v>
      </c>
      <c r="AA38" s="33">
        <v>0</v>
      </c>
      <c r="AB38" s="33">
        <v>0</v>
      </c>
      <c r="AC38" s="33">
        <v>0</v>
      </c>
      <c r="AD38" s="33">
        <v>0</v>
      </c>
      <c r="AE38" s="33">
        <v>0</v>
      </c>
      <c r="AF38" s="33">
        <v>0</v>
      </c>
    </row>
    <row r="39" spans="2:32" ht="13.5" customHeight="1" x14ac:dyDescent="0.3">
      <c r="B39" s="79"/>
      <c r="C39" s="85"/>
      <c r="D39" s="86"/>
      <c r="E39" s="83"/>
      <c r="F39" s="83"/>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row>
    <row r="40" spans="2:32" ht="13.5" customHeight="1" x14ac:dyDescent="0.3">
      <c r="B40" s="178" t="s">
        <v>192</v>
      </c>
      <c r="C40" s="177" t="s">
        <v>71</v>
      </c>
      <c r="D40" s="179" t="s">
        <v>648</v>
      </c>
      <c r="E40" s="87" t="s">
        <v>154</v>
      </c>
      <c r="F40" s="72" t="s">
        <v>137</v>
      </c>
      <c r="G40" s="72">
        <v>10</v>
      </c>
      <c r="H40" s="75">
        <v>10</v>
      </c>
      <c r="I40" s="75">
        <f t="shared" ref="I40:I83" si="4">G40-H40</f>
        <v>0</v>
      </c>
      <c r="J40" s="75">
        <v>12</v>
      </c>
      <c r="K40" s="75">
        <f t="shared" ref="K40:K83" si="5">SUM(J40-G40)</f>
        <v>2</v>
      </c>
      <c r="L40" s="33">
        <v>0</v>
      </c>
      <c r="M40" s="33">
        <v>0</v>
      </c>
      <c r="N40" s="33">
        <v>0</v>
      </c>
      <c r="O40" s="33">
        <v>0</v>
      </c>
      <c r="P40" s="33">
        <v>0</v>
      </c>
      <c r="Q40" s="33">
        <v>0</v>
      </c>
      <c r="R40" s="33">
        <v>0</v>
      </c>
      <c r="S40" s="33">
        <v>0</v>
      </c>
      <c r="T40" s="33">
        <v>0</v>
      </c>
      <c r="U40" s="33">
        <v>2</v>
      </c>
      <c r="V40" s="33">
        <v>2</v>
      </c>
      <c r="W40" s="33">
        <v>2</v>
      </c>
      <c r="X40" s="33">
        <v>2</v>
      </c>
      <c r="Y40" s="33">
        <v>2</v>
      </c>
      <c r="Z40" s="33">
        <v>0</v>
      </c>
      <c r="AA40" s="33">
        <v>0</v>
      </c>
      <c r="AB40" s="33">
        <v>0</v>
      </c>
      <c r="AC40" s="33">
        <v>0</v>
      </c>
      <c r="AD40" s="33">
        <v>0</v>
      </c>
      <c r="AE40" s="33">
        <v>0</v>
      </c>
      <c r="AF40" s="33">
        <v>0</v>
      </c>
    </row>
    <row r="41" spans="2:32" ht="13.5" customHeight="1" x14ac:dyDescent="0.3">
      <c r="B41" s="178" t="s">
        <v>193</v>
      </c>
      <c r="C41" s="177" t="s">
        <v>71</v>
      </c>
      <c r="D41" s="179" t="s">
        <v>649</v>
      </c>
      <c r="E41" s="87" t="s">
        <v>154</v>
      </c>
      <c r="F41" s="72" t="s">
        <v>137</v>
      </c>
      <c r="G41" s="72">
        <v>8</v>
      </c>
      <c r="H41" s="75">
        <v>8</v>
      </c>
      <c r="I41" s="75">
        <f t="shared" si="4"/>
        <v>0</v>
      </c>
      <c r="J41" s="75">
        <v>10</v>
      </c>
      <c r="K41" s="75">
        <f t="shared" si="5"/>
        <v>2</v>
      </c>
      <c r="L41" s="33">
        <v>0</v>
      </c>
      <c r="M41" s="33">
        <v>0</v>
      </c>
      <c r="N41" s="33">
        <v>0</v>
      </c>
      <c r="O41" s="33">
        <v>0</v>
      </c>
      <c r="P41" s="33">
        <v>0</v>
      </c>
      <c r="Q41" s="33">
        <v>0</v>
      </c>
      <c r="R41" s="33">
        <v>0</v>
      </c>
      <c r="S41" s="33">
        <v>0</v>
      </c>
      <c r="T41" s="33">
        <v>0</v>
      </c>
      <c r="U41" s="33">
        <v>0</v>
      </c>
      <c r="V41" s="33">
        <v>0</v>
      </c>
      <c r="W41" s="33">
        <v>2</v>
      </c>
      <c r="X41" s="33">
        <v>2</v>
      </c>
      <c r="Y41" s="33">
        <v>2</v>
      </c>
      <c r="Z41" s="33">
        <v>2</v>
      </c>
      <c r="AA41" s="33">
        <v>0</v>
      </c>
      <c r="AB41" s="33">
        <v>0</v>
      </c>
      <c r="AC41" s="33">
        <v>0</v>
      </c>
      <c r="AD41" s="33">
        <v>0</v>
      </c>
      <c r="AE41" s="33">
        <v>0</v>
      </c>
      <c r="AF41" s="33">
        <v>0</v>
      </c>
    </row>
    <row r="42" spans="2:32" ht="13.5" customHeight="1" x14ac:dyDescent="0.3">
      <c r="B42" s="178" t="s">
        <v>194</v>
      </c>
      <c r="C42" s="177" t="s">
        <v>73</v>
      </c>
      <c r="D42" s="179" t="s">
        <v>650</v>
      </c>
      <c r="E42" s="87" t="s">
        <v>154</v>
      </c>
      <c r="F42" s="72" t="s">
        <v>137</v>
      </c>
      <c r="G42" s="72">
        <v>5</v>
      </c>
      <c r="H42" s="75">
        <v>5</v>
      </c>
      <c r="I42" s="75">
        <f t="shared" si="4"/>
        <v>0</v>
      </c>
      <c r="J42" s="75">
        <v>9</v>
      </c>
      <c r="K42" s="75">
        <f t="shared" si="5"/>
        <v>4</v>
      </c>
      <c r="L42" s="33">
        <v>0</v>
      </c>
      <c r="M42" s="33">
        <v>0</v>
      </c>
      <c r="N42" s="33">
        <v>0</v>
      </c>
      <c r="O42" s="33">
        <v>0</v>
      </c>
      <c r="P42" s="33">
        <v>0</v>
      </c>
      <c r="Q42" s="33">
        <v>0</v>
      </c>
      <c r="R42" s="33">
        <v>0</v>
      </c>
      <c r="S42" s="33">
        <v>0</v>
      </c>
      <c r="T42" s="33">
        <v>0</v>
      </c>
      <c r="U42" s="33">
        <v>0</v>
      </c>
      <c r="V42" s="33">
        <v>1</v>
      </c>
      <c r="W42" s="33">
        <v>1</v>
      </c>
      <c r="X42" s="33">
        <v>1</v>
      </c>
      <c r="Y42" s="33">
        <v>1</v>
      </c>
      <c r="Z42" s="33">
        <v>1</v>
      </c>
      <c r="AA42" s="33">
        <v>0</v>
      </c>
      <c r="AB42" s="33">
        <v>0</v>
      </c>
      <c r="AC42" s="33">
        <v>0</v>
      </c>
      <c r="AD42" s="33">
        <v>0</v>
      </c>
      <c r="AE42" s="33">
        <v>0</v>
      </c>
      <c r="AF42" s="33">
        <v>0</v>
      </c>
    </row>
    <row r="43" spans="2:32" ht="13.5" customHeight="1" x14ac:dyDescent="0.3">
      <c r="B43" s="178" t="s">
        <v>195</v>
      </c>
      <c r="C43" s="177" t="s">
        <v>73</v>
      </c>
      <c r="D43" s="179" t="s">
        <v>651</v>
      </c>
      <c r="E43" s="87" t="s">
        <v>154</v>
      </c>
      <c r="F43" s="72" t="s">
        <v>137</v>
      </c>
      <c r="G43" s="72">
        <v>5</v>
      </c>
      <c r="H43" s="75">
        <v>5</v>
      </c>
      <c r="I43" s="75">
        <f t="shared" si="4"/>
        <v>0</v>
      </c>
      <c r="J43" s="75">
        <v>8</v>
      </c>
      <c r="K43" s="75">
        <f t="shared" si="5"/>
        <v>3</v>
      </c>
      <c r="L43" s="33">
        <v>0</v>
      </c>
      <c r="M43" s="33">
        <v>0</v>
      </c>
      <c r="N43" s="33">
        <v>0</v>
      </c>
      <c r="O43" s="33">
        <v>0</v>
      </c>
      <c r="P43" s="33">
        <v>0</v>
      </c>
      <c r="Q43" s="33">
        <v>0</v>
      </c>
      <c r="R43" s="33">
        <v>0</v>
      </c>
      <c r="S43" s="33">
        <v>0</v>
      </c>
      <c r="T43" s="33">
        <v>0</v>
      </c>
      <c r="U43" s="33">
        <v>0</v>
      </c>
      <c r="V43" s="33">
        <v>0</v>
      </c>
      <c r="W43" s="33">
        <v>1</v>
      </c>
      <c r="X43" s="33">
        <v>1</v>
      </c>
      <c r="Y43" s="33">
        <v>1</v>
      </c>
      <c r="Z43" s="33">
        <v>1</v>
      </c>
      <c r="AA43" s="33">
        <v>1</v>
      </c>
      <c r="AB43" s="33">
        <v>0</v>
      </c>
      <c r="AC43" s="33">
        <v>0</v>
      </c>
      <c r="AD43" s="33">
        <v>0</v>
      </c>
      <c r="AE43" s="33">
        <v>0</v>
      </c>
      <c r="AF43" s="33">
        <v>0</v>
      </c>
    </row>
    <row r="44" spans="2:32" ht="13.5" customHeight="1" x14ac:dyDescent="0.3">
      <c r="B44" s="178" t="s">
        <v>196</v>
      </c>
      <c r="C44" s="177" t="s">
        <v>74</v>
      </c>
      <c r="D44" s="173" t="s">
        <v>679</v>
      </c>
      <c r="E44" s="87" t="s">
        <v>154</v>
      </c>
      <c r="F44" s="72" t="s">
        <v>137</v>
      </c>
      <c r="G44" s="72"/>
      <c r="H44" s="75"/>
      <c r="I44" s="75"/>
      <c r="J44" s="75"/>
      <c r="K44" s="75"/>
      <c r="L44" s="33"/>
      <c r="M44" s="33"/>
      <c r="N44" s="33"/>
      <c r="O44" s="33"/>
      <c r="P44" s="33"/>
      <c r="Q44" s="33"/>
      <c r="R44" s="33"/>
      <c r="S44" s="33"/>
      <c r="T44" s="33"/>
      <c r="U44" s="33"/>
      <c r="V44" s="33"/>
      <c r="W44" s="33"/>
      <c r="X44" s="33"/>
      <c r="Y44" s="33"/>
      <c r="Z44" s="33"/>
      <c r="AA44" s="33"/>
      <c r="AB44" s="33"/>
      <c r="AC44" s="33"/>
      <c r="AD44" s="33"/>
      <c r="AE44" s="33"/>
      <c r="AF44" s="33"/>
    </row>
    <row r="45" spans="2:32" ht="13.5" customHeight="1" x14ac:dyDescent="0.3">
      <c r="B45" s="178" t="s">
        <v>198</v>
      </c>
      <c r="C45" s="177" t="s">
        <v>74</v>
      </c>
      <c r="D45" s="173" t="s">
        <v>680</v>
      </c>
      <c r="E45" s="87" t="s">
        <v>154</v>
      </c>
      <c r="F45" s="72" t="s">
        <v>137</v>
      </c>
      <c r="G45" s="72"/>
      <c r="H45" s="75"/>
      <c r="I45" s="75"/>
      <c r="J45" s="75"/>
      <c r="K45" s="75"/>
      <c r="L45" s="33"/>
      <c r="M45" s="33"/>
      <c r="N45" s="33"/>
      <c r="O45" s="33"/>
      <c r="P45" s="33"/>
      <c r="Q45" s="33"/>
      <c r="R45" s="33"/>
      <c r="S45" s="33"/>
      <c r="T45" s="33"/>
      <c r="U45" s="33"/>
      <c r="V45" s="33"/>
      <c r="W45" s="33"/>
      <c r="X45" s="33"/>
      <c r="Y45" s="33"/>
      <c r="Z45" s="33"/>
      <c r="AA45" s="33"/>
      <c r="AB45" s="33"/>
      <c r="AC45" s="33"/>
      <c r="AD45" s="33"/>
      <c r="AE45" s="33"/>
      <c r="AF45" s="33"/>
    </row>
    <row r="46" spans="2:32" ht="13.5" customHeight="1" x14ac:dyDescent="0.3">
      <c r="B46" s="178" t="s">
        <v>200</v>
      </c>
      <c r="C46" s="177" t="s">
        <v>75</v>
      </c>
      <c r="D46" s="179" t="s">
        <v>652</v>
      </c>
      <c r="E46" s="72" t="s">
        <v>257</v>
      </c>
      <c r="F46" s="72" t="s">
        <v>137</v>
      </c>
      <c r="G46" s="72">
        <v>5</v>
      </c>
      <c r="H46" s="75">
        <v>5</v>
      </c>
      <c r="I46" s="75">
        <f t="shared" si="4"/>
        <v>0</v>
      </c>
      <c r="J46" s="75">
        <v>5</v>
      </c>
      <c r="K46" s="75">
        <f t="shared" si="5"/>
        <v>0</v>
      </c>
      <c r="L46" s="33">
        <v>0</v>
      </c>
      <c r="M46" s="33">
        <v>0</v>
      </c>
      <c r="N46" s="33">
        <v>0</v>
      </c>
      <c r="O46" s="33">
        <v>0</v>
      </c>
      <c r="P46" s="33">
        <v>0</v>
      </c>
      <c r="Q46" s="33">
        <v>0</v>
      </c>
      <c r="R46" s="33">
        <v>0</v>
      </c>
      <c r="S46" s="33">
        <v>0</v>
      </c>
      <c r="T46" s="33">
        <v>0</v>
      </c>
      <c r="U46" s="33">
        <v>1</v>
      </c>
      <c r="V46" s="33">
        <v>1</v>
      </c>
      <c r="W46" s="33">
        <v>1</v>
      </c>
      <c r="X46" s="33">
        <v>1</v>
      </c>
      <c r="Y46" s="33">
        <v>1</v>
      </c>
      <c r="Z46" s="33">
        <v>0</v>
      </c>
      <c r="AA46" s="33">
        <v>0</v>
      </c>
      <c r="AB46" s="33">
        <v>0</v>
      </c>
      <c r="AC46" s="33">
        <v>0</v>
      </c>
      <c r="AD46" s="33">
        <v>0</v>
      </c>
      <c r="AE46" s="33">
        <v>0</v>
      </c>
      <c r="AF46" s="33">
        <v>0</v>
      </c>
    </row>
    <row r="47" spans="2:32" ht="13.5" customHeight="1" x14ac:dyDescent="0.3">
      <c r="B47" s="178" t="s">
        <v>202</v>
      </c>
      <c r="C47" s="177" t="s">
        <v>75</v>
      </c>
      <c r="D47" s="179" t="s">
        <v>653</v>
      </c>
      <c r="E47" s="72" t="s">
        <v>154</v>
      </c>
      <c r="F47" s="72" t="s">
        <v>137</v>
      </c>
      <c r="G47" s="72">
        <v>5</v>
      </c>
      <c r="H47" s="75">
        <v>6</v>
      </c>
      <c r="I47" s="75">
        <f t="shared" si="4"/>
        <v>-1</v>
      </c>
      <c r="J47" s="75">
        <v>6</v>
      </c>
      <c r="K47" s="75">
        <f t="shared" si="5"/>
        <v>1</v>
      </c>
      <c r="L47" s="33">
        <v>0</v>
      </c>
      <c r="M47" s="33">
        <v>0</v>
      </c>
      <c r="N47" s="33">
        <v>0</v>
      </c>
      <c r="O47" s="33">
        <v>0</v>
      </c>
      <c r="P47" s="33">
        <v>0</v>
      </c>
      <c r="Q47" s="33">
        <v>0</v>
      </c>
      <c r="R47" s="33">
        <v>0</v>
      </c>
      <c r="S47" s="33">
        <v>0</v>
      </c>
      <c r="T47" s="33">
        <v>0</v>
      </c>
      <c r="U47" s="33">
        <v>0</v>
      </c>
      <c r="V47" s="33">
        <v>1</v>
      </c>
      <c r="W47" s="33">
        <v>1</v>
      </c>
      <c r="X47" s="33">
        <v>1</v>
      </c>
      <c r="Y47" s="33">
        <v>1</v>
      </c>
      <c r="Z47" s="33">
        <v>1</v>
      </c>
      <c r="AA47" s="33">
        <v>0</v>
      </c>
      <c r="AB47" s="33">
        <v>0</v>
      </c>
      <c r="AC47" s="33">
        <v>0</v>
      </c>
      <c r="AD47" s="33">
        <v>0</v>
      </c>
      <c r="AE47" s="33">
        <v>0</v>
      </c>
      <c r="AF47" s="33">
        <v>0</v>
      </c>
    </row>
    <row r="48" spans="2:32" ht="13.5" customHeight="1" x14ac:dyDescent="0.3">
      <c r="B48" s="178" t="s">
        <v>204</v>
      </c>
      <c r="C48" s="177" t="s">
        <v>78</v>
      </c>
      <c r="D48" s="179" t="s">
        <v>654</v>
      </c>
      <c r="E48" s="72" t="s">
        <v>154</v>
      </c>
      <c r="F48" s="72" t="s">
        <v>137</v>
      </c>
      <c r="G48" s="72">
        <v>5</v>
      </c>
      <c r="H48" s="75">
        <v>5</v>
      </c>
      <c r="I48" s="75">
        <f t="shared" si="4"/>
        <v>0</v>
      </c>
      <c r="J48" s="75">
        <v>7</v>
      </c>
      <c r="K48" s="75">
        <f t="shared" si="5"/>
        <v>2</v>
      </c>
      <c r="L48" s="33">
        <v>0</v>
      </c>
      <c r="M48" s="33">
        <v>0</v>
      </c>
      <c r="N48" s="33">
        <v>0</v>
      </c>
      <c r="O48" s="33">
        <v>0</v>
      </c>
      <c r="P48" s="33">
        <v>0</v>
      </c>
      <c r="Q48" s="33">
        <v>0</v>
      </c>
      <c r="R48" s="33">
        <v>0</v>
      </c>
      <c r="S48" s="33">
        <v>0</v>
      </c>
      <c r="T48" s="33">
        <v>0</v>
      </c>
      <c r="U48" s="33">
        <v>0</v>
      </c>
      <c r="V48" s="33">
        <v>1</v>
      </c>
      <c r="W48" s="33">
        <v>1</v>
      </c>
      <c r="X48" s="33">
        <v>1</v>
      </c>
      <c r="Y48" s="33">
        <v>1</v>
      </c>
      <c r="Z48" s="33">
        <v>1</v>
      </c>
      <c r="AA48" s="33">
        <v>0</v>
      </c>
      <c r="AB48" s="33">
        <v>0</v>
      </c>
      <c r="AC48" s="33">
        <v>0</v>
      </c>
      <c r="AD48" s="33">
        <v>0</v>
      </c>
      <c r="AE48" s="33">
        <v>0</v>
      </c>
      <c r="AF48" s="33">
        <v>0</v>
      </c>
    </row>
    <row r="49" spans="2:32" ht="13.5" customHeight="1" x14ac:dyDescent="0.3">
      <c r="B49" s="178" t="s">
        <v>206</v>
      </c>
      <c r="C49" s="177" t="s">
        <v>78</v>
      </c>
      <c r="D49" s="179" t="s">
        <v>655</v>
      </c>
      <c r="E49" s="72" t="s">
        <v>154</v>
      </c>
      <c r="F49" s="72" t="s">
        <v>137</v>
      </c>
      <c r="G49" s="72">
        <v>5</v>
      </c>
      <c r="H49" s="75">
        <v>5</v>
      </c>
      <c r="I49" s="75">
        <f t="shared" si="4"/>
        <v>0</v>
      </c>
      <c r="J49" s="75">
        <v>4</v>
      </c>
      <c r="K49" s="75">
        <f t="shared" si="5"/>
        <v>-1</v>
      </c>
      <c r="L49" s="33">
        <v>0</v>
      </c>
      <c r="M49" s="33">
        <v>0</v>
      </c>
      <c r="N49" s="33">
        <v>0</v>
      </c>
      <c r="O49" s="33">
        <v>0</v>
      </c>
      <c r="P49" s="33">
        <v>0</v>
      </c>
      <c r="Q49" s="33">
        <v>0</v>
      </c>
      <c r="R49" s="33">
        <v>0</v>
      </c>
      <c r="S49" s="33">
        <v>0</v>
      </c>
      <c r="T49" s="33">
        <v>0</v>
      </c>
      <c r="U49" s="33">
        <v>0</v>
      </c>
      <c r="V49" s="33">
        <v>0</v>
      </c>
      <c r="W49" s="33">
        <v>1</v>
      </c>
      <c r="X49" s="33">
        <v>1</v>
      </c>
      <c r="Y49" s="33">
        <v>1</v>
      </c>
      <c r="Z49" s="33">
        <v>1</v>
      </c>
      <c r="AA49" s="33">
        <v>1</v>
      </c>
      <c r="AB49" s="33">
        <v>0</v>
      </c>
      <c r="AC49" s="33">
        <v>0</v>
      </c>
      <c r="AD49" s="33">
        <v>0</v>
      </c>
      <c r="AE49" s="33">
        <v>0</v>
      </c>
      <c r="AF49" s="33">
        <v>0</v>
      </c>
    </row>
    <row r="50" spans="2:32" ht="13.5" customHeight="1" x14ac:dyDescent="0.3">
      <c r="B50" s="178" t="s">
        <v>208</v>
      </c>
      <c r="C50" s="177" t="s">
        <v>79</v>
      </c>
      <c r="D50" s="179" t="s">
        <v>677</v>
      </c>
      <c r="E50" s="72" t="s">
        <v>154</v>
      </c>
      <c r="F50" s="72" t="s">
        <v>137</v>
      </c>
      <c r="G50" s="72"/>
      <c r="H50" s="75"/>
      <c r="I50" s="75"/>
      <c r="J50" s="75"/>
      <c r="K50" s="75"/>
      <c r="L50" s="33"/>
      <c r="M50" s="33"/>
      <c r="N50" s="33"/>
      <c r="O50" s="33"/>
      <c r="P50" s="33"/>
      <c r="Q50" s="33"/>
      <c r="R50" s="33"/>
      <c r="S50" s="33"/>
      <c r="T50" s="33"/>
      <c r="U50" s="33"/>
      <c r="V50" s="33"/>
      <c r="W50" s="33"/>
      <c r="X50" s="33"/>
      <c r="Y50" s="33"/>
      <c r="Z50" s="33"/>
      <c r="AA50" s="33"/>
      <c r="AB50" s="33"/>
      <c r="AC50" s="33"/>
      <c r="AD50" s="33"/>
      <c r="AE50" s="33"/>
      <c r="AF50" s="33"/>
    </row>
    <row r="51" spans="2:32" ht="13.5" customHeight="1" x14ac:dyDescent="0.3">
      <c r="B51" s="178" t="s">
        <v>209</v>
      </c>
      <c r="C51" s="177" t="s">
        <v>79</v>
      </c>
      <c r="D51" s="179" t="s">
        <v>678</v>
      </c>
      <c r="E51" s="72" t="s">
        <v>154</v>
      </c>
      <c r="F51" s="72" t="s">
        <v>137</v>
      </c>
      <c r="G51" s="72"/>
      <c r="H51" s="75"/>
      <c r="I51" s="75"/>
      <c r="J51" s="75"/>
      <c r="K51" s="75"/>
      <c r="L51" s="33"/>
      <c r="M51" s="33"/>
      <c r="N51" s="33"/>
      <c r="O51" s="33"/>
      <c r="P51" s="33"/>
      <c r="Q51" s="33"/>
      <c r="R51" s="33"/>
      <c r="S51" s="33"/>
      <c r="T51" s="33"/>
      <c r="U51" s="33"/>
      <c r="V51" s="33"/>
      <c r="W51" s="33"/>
      <c r="X51" s="33"/>
      <c r="Y51" s="33"/>
      <c r="Z51" s="33"/>
      <c r="AA51" s="33"/>
      <c r="AB51" s="33"/>
      <c r="AC51" s="33"/>
      <c r="AD51" s="33"/>
      <c r="AE51" s="33"/>
      <c r="AF51" s="33"/>
    </row>
    <row r="52" spans="2:32" ht="13.5" customHeight="1" x14ac:dyDescent="0.3">
      <c r="B52" s="178" t="s">
        <v>210</v>
      </c>
      <c r="C52" s="177" t="s">
        <v>83</v>
      </c>
      <c r="D52" s="179" t="s">
        <v>656</v>
      </c>
      <c r="E52" s="72" t="s">
        <v>154</v>
      </c>
      <c r="F52" s="72" t="s">
        <v>137</v>
      </c>
      <c r="G52" s="72">
        <v>5</v>
      </c>
      <c r="H52" s="75">
        <v>5</v>
      </c>
      <c r="I52" s="75">
        <f t="shared" si="4"/>
        <v>0</v>
      </c>
      <c r="J52" s="75">
        <v>5</v>
      </c>
      <c r="K52" s="75">
        <f t="shared" si="5"/>
        <v>0</v>
      </c>
      <c r="L52" s="33">
        <v>0</v>
      </c>
      <c r="M52" s="33">
        <v>0</v>
      </c>
      <c r="N52" s="33">
        <v>0</v>
      </c>
      <c r="O52" s="33">
        <v>0</v>
      </c>
      <c r="P52" s="33">
        <v>0</v>
      </c>
      <c r="Q52" s="33">
        <v>0</v>
      </c>
      <c r="R52" s="33">
        <v>0</v>
      </c>
      <c r="S52" s="33">
        <v>0</v>
      </c>
      <c r="T52" s="33">
        <v>0</v>
      </c>
      <c r="U52" s="33">
        <v>0</v>
      </c>
      <c r="V52" s="33">
        <v>0</v>
      </c>
      <c r="W52" s="33">
        <v>1</v>
      </c>
      <c r="X52" s="33">
        <v>1</v>
      </c>
      <c r="Y52" s="33">
        <v>1</v>
      </c>
      <c r="Z52" s="33">
        <v>1</v>
      </c>
      <c r="AA52" s="33">
        <v>1</v>
      </c>
      <c r="AB52" s="33">
        <v>0</v>
      </c>
      <c r="AC52" s="33">
        <v>0</v>
      </c>
      <c r="AD52" s="33">
        <v>0</v>
      </c>
      <c r="AE52" s="33">
        <v>0</v>
      </c>
      <c r="AF52" s="33">
        <v>0</v>
      </c>
    </row>
    <row r="53" spans="2:32" ht="13.5" customHeight="1" x14ac:dyDescent="0.3">
      <c r="B53" s="178" t="s">
        <v>212</v>
      </c>
      <c r="C53" s="177" t="s">
        <v>83</v>
      </c>
      <c r="D53" s="179" t="s">
        <v>657</v>
      </c>
      <c r="E53" s="72" t="s">
        <v>154</v>
      </c>
      <c r="F53" s="72" t="s">
        <v>137</v>
      </c>
      <c r="G53" s="72">
        <v>8</v>
      </c>
      <c r="H53" s="75">
        <v>10</v>
      </c>
      <c r="I53" s="75">
        <f t="shared" si="4"/>
        <v>-2</v>
      </c>
      <c r="J53" s="75">
        <v>12</v>
      </c>
      <c r="K53" s="75">
        <f t="shared" si="5"/>
        <v>4</v>
      </c>
      <c r="L53" s="33">
        <v>0</v>
      </c>
      <c r="M53" s="33">
        <v>0</v>
      </c>
      <c r="N53" s="33">
        <v>0</v>
      </c>
      <c r="O53" s="33">
        <v>0</v>
      </c>
      <c r="P53" s="33">
        <v>0</v>
      </c>
      <c r="Q53" s="33">
        <v>0</v>
      </c>
      <c r="R53" s="33">
        <v>0</v>
      </c>
      <c r="S53" s="33">
        <v>0</v>
      </c>
      <c r="T53" s="33">
        <v>0</v>
      </c>
      <c r="U53" s="33">
        <v>0</v>
      </c>
      <c r="V53" s="33">
        <v>0</v>
      </c>
      <c r="W53" s="33">
        <v>0</v>
      </c>
      <c r="X53" s="33">
        <v>0</v>
      </c>
      <c r="Y53" s="33">
        <v>2</v>
      </c>
      <c r="Z53" s="33">
        <v>2</v>
      </c>
      <c r="AA53" s="33">
        <v>2</v>
      </c>
      <c r="AB53" s="33">
        <v>2</v>
      </c>
      <c r="AC53" s="33">
        <v>0</v>
      </c>
      <c r="AD53" s="33">
        <v>0</v>
      </c>
      <c r="AE53" s="33">
        <v>0</v>
      </c>
      <c r="AF53" s="33">
        <v>0</v>
      </c>
    </row>
    <row r="54" spans="2:32" ht="13.5" customHeight="1" x14ac:dyDescent="0.3">
      <c r="B54" s="178" t="s">
        <v>214</v>
      </c>
      <c r="C54" s="177" t="s">
        <v>87</v>
      </c>
      <c r="D54" s="179" t="s">
        <v>658</v>
      </c>
      <c r="E54" s="72" t="s">
        <v>154</v>
      </c>
      <c r="F54" s="72" t="s">
        <v>137</v>
      </c>
      <c r="G54" s="72">
        <v>3</v>
      </c>
      <c r="H54" s="75">
        <v>5</v>
      </c>
      <c r="I54" s="75">
        <f t="shared" si="4"/>
        <v>-2</v>
      </c>
      <c r="J54" s="75">
        <v>4</v>
      </c>
      <c r="K54" s="75">
        <f t="shared" si="5"/>
        <v>1</v>
      </c>
      <c r="L54" s="33">
        <v>0</v>
      </c>
      <c r="M54" s="33">
        <v>0</v>
      </c>
      <c r="N54" s="33">
        <v>0</v>
      </c>
      <c r="O54" s="33">
        <v>0</v>
      </c>
      <c r="P54" s="33">
        <v>0</v>
      </c>
      <c r="Q54" s="33">
        <v>0</v>
      </c>
      <c r="R54" s="33">
        <v>0</v>
      </c>
      <c r="S54" s="33">
        <v>0</v>
      </c>
      <c r="T54" s="33">
        <v>0</v>
      </c>
      <c r="U54" s="33">
        <v>0</v>
      </c>
      <c r="V54" s="33">
        <v>0</v>
      </c>
      <c r="W54" s="33">
        <v>1</v>
      </c>
      <c r="X54" s="33">
        <v>1</v>
      </c>
      <c r="Y54" s="33">
        <v>1</v>
      </c>
      <c r="Z54" s="33">
        <v>0</v>
      </c>
      <c r="AA54" s="33">
        <v>0</v>
      </c>
      <c r="AB54" s="33">
        <v>0</v>
      </c>
      <c r="AC54" s="33">
        <v>0</v>
      </c>
      <c r="AD54" s="33">
        <v>0</v>
      </c>
      <c r="AE54" s="33">
        <v>0</v>
      </c>
      <c r="AF54" s="33">
        <v>0</v>
      </c>
    </row>
    <row r="55" spans="2:32" ht="13.5" customHeight="1" x14ac:dyDescent="0.3">
      <c r="B55" s="178" t="s">
        <v>216</v>
      </c>
      <c r="C55" s="177" t="s">
        <v>87</v>
      </c>
      <c r="D55" s="179" t="s">
        <v>659</v>
      </c>
      <c r="E55" s="72" t="s">
        <v>143</v>
      </c>
      <c r="F55" s="72" t="s">
        <v>137</v>
      </c>
      <c r="G55" s="72">
        <v>10</v>
      </c>
      <c r="H55" s="75">
        <v>10</v>
      </c>
      <c r="I55" s="75">
        <f t="shared" si="4"/>
        <v>0</v>
      </c>
      <c r="J55" s="75">
        <v>14</v>
      </c>
      <c r="K55" s="75">
        <f t="shared" si="5"/>
        <v>4</v>
      </c>
      <c r="L55" s="33">
        <v>0</v>
      </c>
      <c r="M55" s="33">
        <v>0</v>
      </c>
      <c r="N55" s="33">
        <v>0</v>
      </c>
      <c r="O55" s="33">
        <v>0</v>
      </c>
      <c r="P55" s="33">
        <v>0</v>
      </c>
      <c r="Q55" s="33">
        <v>0</v>
      </c>
      <c r="R55" s="33">
        <v>0</v>
      </c>
      <c r="S55" s="33">
        <v>0</v>
      </c>
      <c r="T55" s="33">
        <v>0</v>
      </c>
      <c r="U55" s="33">
        <v>0</v>
      </c>
      <c r="V55" s="33">
        <v>0</v>
      </c>
      <c r="W55" s="33">
        <v>2</v>
      </c>
      <c r="X55" s="33">
        <v>2</v>
      </c>
      <c r="Y55" s="33">
        <v>2</v>
      </c>
      <c r="Z55" s="33">
        <v>2</v>
      </c>
      <c r="AA55" s="33">
        <v>2</v>
      </c>
      <c r="AB55" s="33">
        <v>0</v>
      </c>
      <c r="AC55" s="33">
        <v>0</v>
      </c>
      <c r="AD55" s="33">
        <v>0</v>
      </c>
      <c r="AE55" s="33">
        <v>0</v>
      </c>
      <c r="AF55" s="33">
        <v>0</v>
      </c>
    </row>
    <row r="56" spans="2:32" ht="13.5" customHeight="1" x14ac:dyDescent="0.3">
      <c r="B56" s="178" t="s">
        <v>218</v>
      </c>
      <c r="C56" s="177" t="s">
        <v>88</v>
      </c>
      <c r="D56" s="179" t="s">
        <v>258</v>
      </c>
      <c r="E56" s="72" t="s">
        <v>143</v>
      </c>
      <c r="F56" s="72" t="s">
        <v>137</v>
      </c>
      <c r="G56" s="72">
        <v>8</v>
      </c>
      <c r="H56" s="75">
        <v>10</v>
      </c>
      <c r="I56" s="75">
        <f t="shared" si="4"/>
        <v>-2</v>
      </c>
      <c r="J56" s="75">
        <v>12</v>
      </c>
      <c r="K56" s="75">
        <f t="shared" si="5"/>
        <v>4</v>
      </c>
      <c r="L56" s="33">
        <v>0</v>
      </c>
      <c r="M56" s="33">
        <v>0</v>
      </c>
      <c r="N56" s="33">
        <v>0</v>
      </c>
      <c r="O56" s="33">
        <v>0</v>
      </c>
      <c r="P56" s="33">
        <v>0</v>
      </c>
      <c r="Q56" s="33">
        <v>0</v>
      </c>
      <c r="R56" s="33">
        <v>0</v>
      </c>
      <c r="S56" s="33">
        <v>0</v>
      </c>
      <c r="T56" s="33">
        <v>0</v>
      </c>
      <c r="U56" s="33">
        <v>0</v>
      </c>
      <c r="V56" s="33">
        <v>0</v>
      </c>
      <c r="W56" s="33">
        <v>0</v>
      </c>
      <c r="X56" s="33">
        <v>0</v>
      </c>
      <c r="Y56" s="33">
        <v>2</v>
      </c>
      <c r="Z56" s="33">
        <v>2</v>
      </c>
      <c r="AA56" s="33">
        <v>2</v>
      </c>
      <c r="AB56" s="33">
        <v>2</v>
      </c>
      <c r="AC56" s="33">
        <v>0</v>
      </c>
      <c r="AD56" s="33">
        <v>0</v>
      </c>
      <c r="AE56" s="33">
        <v>0</v>
      </c>
      <c r="AF56" s="33">
        <v>0</v>
      </c>
    </row>
    <row r="57" spans="2:32" ht="13.5" customHeight="1" x14ac:dyDescent="0.3">
      <c r="B57" s="178" t="s">
        <v>219</v>
      </c>
      <c r="C57" s="177" t="s">
        <v>88</v>
      </c>
      <c r="D57" s="179" t="s">
        <v>259</v>
      </c>
      <c r="E57" s="72" t="s">
        <v>143</v>
      </c>
      <c r="F57" s="72" t="s">
        <v>137</v>
      </c>
      <c r="G57" s="72">
        <v>10</v>
      </c>
      <c r="H57" s="75">
        <v>10</v>
      </c>
      <c r="I57" s="75">
        <f t="shared" si="4"/>
        <v>0</v>
      </c>
      <c r="J57" s="75">
        <v>15</v>
      </c>
      <c r="K57" s="75">
        <f t="shared" si="5"/>
        <v>5</v>
      </c>
      <c r="L57" s="33">
        <v>0</v>
      </c>
      <c r="M57" s="33">
        <v>0</v>
      </c>
      <c r="N57" s="33">
        <v>0</v>
      </c>
      <c r="O57" s="33">
        <v>0</v>
      </c>
      <c r="P57" s="33">
        <v>0</v>
      </c>
      <c r="Q57" s="33">
        <v>0</v>
      </c>
      <c r="R57" s="33">
        <v>0</v>
      </c>
      <c r="S57" s="33">
        <v>0</v>
      </c>
      <c r="T57" s="33">
        <v>0</v>
      </c>
      <c r="U57" s="33">
        <v>2</v>
      </c>
      <c r="V57" s="33">
        <v>2</v>
      </c>
      <c r="W57" s="33">
        <v>2</v>
      </c>
      <c r="X57" s="33">
        <v>2</v>
      </c>
      <c r="Y57" s="33">
        <v>2</v>
      </c>
      <c r="Z57" s="33">
        <v>0</v>
      </c>
      <c r="AA57" s="33">
        <v>0</v>
      </c>
      <c r="AB57" s="33">
        <v>0</v>
      </c>
      <c r="AC57" s="33">
        <v>0</v>
      </c>
      <c r="AD57" s="33">
        <v>0</v>
      </c>
      <c r="AE57" s="33">
        <v>0</v>
      </c>
      <c r="AF57" s="33">
        <v>0</v>
      </c>
    </row>
    <row r="58" spans="2:32" ht="13.5" customHeight="1" x14ac:dyDescent="0.3">
      <c r="B58" s="178" t="s">
        <v>221</v>
      </c>
      <c r="C58" s="177" t="s">
        <v>90</v>
      </c>
      <c r="D58" s="179" t="s">
        <v>260</v>
      </c>
      <c r="E58" s="72" t="s">
        <v>143</v>
      </c>
      <c r="F58" s="72" t="s">
        <v>137</v>
      </c>
      <c r="G58" s="72">
        <v>7</v>
      </c>
      <c r="H58" s="75">
        <v>7</v>
      </c>
      <c r="I58" s="75">
        <f t="shared" si="4"/>
        <v>0</v>
      </c>
      <c r="J58" s="75">
        <v>8</v>
      </c>
      <c r="K58" s="75">
        <f t="shared" si="5"/>
        <v>1</v>
      </c>
      <c r="L58" s="33">
        <v>0</v>
      </c>
      <c r="M58" s="33">
        <v>0</v>
      </c>
      <c r="N58" s="33">
        <v>0</v>
      </c>
      <c r="O58" s="33">
        <v>0</v>
      </c>
      <c r="P58" s="33">
        <v>0</v>
      </c>
      <c r="Q58" s="33">
        <v>0</v>
      </c>
      <c r="R58" s="33">
        <v>0</v>
      </c>
      <c r="S58" s="33">
        <v>0</v>
      </c>
      <c r="T58" s="33">
        <v>0</v>
      </c>
      <c r="U58" s="33">
        <v>0</v>
      </c>
      <c r="V58" s="33">
        <v>2</v>
      </c>
      <c r="W58" s="33">
        <v>0</v>
      </c>
      <c r="X58" s="33">
        <v>2</v>
      </c>
      <c r="Y58" s="33">
        <v>2</v>
      </c>
      <c r="Z58" s="33">
        <v>1</v>
      </c>
      <c r="AA58" s="33">
        <v>0</v>
      </c>
      <c r="AB58" s="33">
        <v>0</v>
      </c>
      <c r="AC58" s="33">
        <v>0</v>
      </c>
      <c r="AD58" s="33">
        <v>0</v>
      </c>
      <c r="AE58" s="33">
        <v>0</v>
      </c>
      <c r="AF58" s="33">
        <v>0</v>
      </c>
    </row>
    <row r="59" spans="2:32" ht="13.5" customHeight="1" x14ac:dyDescent="0.3">
      <c r="B59" s="178" t="s">
        <v>223</v>
      </c>
      <c r="C59" s="177" t="s">
        <v>90</v>
      </c>
      <c r="D59" s="179" t="s">
        <v>261</v>
      </c>
      <c r="E59" s="72" t="s">
        <v>151</v>
      </c>
      <c r="F59" s="72" t="s">
        <v>137</v>
      </c>
      <c r="G59" s="72">
        <v>8</v>
      </c>
      <c r="H59" s="75">
        <v>8</v>
      </c>
      <c r="I59" s="75">
        <f t="shared" si="4"/>
        <v>0</v>
      </c>
      <c r="J59" s="75">
        <v>6</v>
      </c>
      <c r="K59" s="75">
        <f t="shared" si="5"/>
        <v>-2</v>
      </c>
      <c r="L59" s="33">
        <v>0</v>
      </c>
      <c r="M59" s="33">
        <v>0</v>
      </c>
      <c r="N59" s="33">
        <v>0</v>
      </c>
      <c r="O59" s="33">
        <v>0</v>
      </c>
      <c r="P59" s="33">
        <v>0</v>
      </c>
      <c r="Q59" s="33">
        <v>0</v>
      </c>
      <c r="R59" s="33">
        <v>0</v>
      </c>
      <c r="S59" s="33">
        <v>0</v>
      </c>
      <c r="T59" s="33">
        <v>0</v>
      </c>
      <c r="U59" s="33">
        <v>0</v>
      </c>
      <c r="V59" s="33">
        <v>0</v>
      </c>
      <c r="W59" s="33">
        <v>0</v>
      </c>
      <c r="X59" s="33">
        <v>0</v>
      </c>
      <c r="Y59" s="33">
        <v>2</v>
      </c>
      <c r="Z59" s="33">
        <v>2</v>
      </c>
      <c r="AA59" s="33">
        <v>2</v>
      </c>
      <c r="AB59" s="33">
        <v>2</v>
      </c>
      <c r="AC59" s="33">
        <v>2</v>
      </c>
      <c r="AD59" s="33">
        <v>0</v>
      </c>
      <c r="AE59" s="33">
        <v>0</v>
      </c>
      <c r="AF59" s="33">
        <v>0</v>
      </c>
    </row>
    <row r="60" spans="2:32" ht="13.5" customHeight="1" x14ac:dyDescent="0.3">
      <c r="B60" s="178" t="s">
        <v>224</v>
      </c>
      <c r="C60" s="177" t="s">
        <v>93</v>
      </c>
      <c r="D60" s="179" t="s">
        <v>660</v>
      </c>
      <c r="E60" s="72" t="s">
        <v>151</v>
      </c>
      <c r="F60" s="72" t="s">
        <v>137</v>
      </c>
      <c r="G60" s="72">
        <v>10</v>
      </c>
      <c r="H60" s="75">
        <v>10</v>
      </c>
      <c r="I60" s="75">
        <f t="shared" si="4"/>
        <v>0</v>
      </c>
      <c r="J60" s="75">
        <v>10</v>
      </c>
      <c r="K60" s="75">
        <f t="shared" si="5"/>
        <v>0</v>
      </c>
      <c r="L60" s="33">
        <v>0</v>
      </c>
      <c r="M60" s="33">
        <v>0</v>
      </c>
      <c r="N60" s="33">
        <v>0</v>
      </c>
      <c r="O60" s="33">
        <v>0</v>
      </c>
      <c r="P60" s="33">
        <v>0</v>
      </c>
      <c r="Q60" s="33">
        <v>0</v>
      </c>
      <c r="R60" s="33">
        <v>0</v>
      </c>
      <c r="S60" s="33">
        <v>0</v>
      </c>
      <c r="T60" s="33">
        <v>0</v>
      </c>
      <c r="U60" s="33">
        <v>0</v>
      </c>
      <c r="V60" s="33">
        <v>0</v>
      </c>
      <c r="W60" s="33">
        <v>0</v>
      </c>
      <c r="X60" s="33">
        <v>0</v>
      </c>
      <c r="Y60" s="33">
        <v>0</v>
      </c>
      <c r="Z60" s="33">
        <v>2</v>
      </c>
      <c r="AA60" s="33">
        <v>2</v>
      </c>
      <c r="AB60" s="33">
        <v>2</v>
      </c>
      <c r="AC60" s="33">
        <v>2</v>
      </c>
      <c r="AD60" s="33">
        <v>2</v>
      </c>
      <c r="AE60" s="33">
        <v>0</v>
      </c>
      <c r="AF60" s="33">
        <v>0</v>
      </c>
    </row>
    <row r="61" spans="2:32" ht="13.5" customHeight="1" x14ac:dyDescent="0.3">
      <c r="B61" s="178" t="s">
        <v>226</v>
      </c>
      <c r="C61" s="177" t="s">
        <v>93</v>
      </c>
      <c r="D61" s="179" t="s">
        <v>661</v>
      </c>
      <c r="E61" s="72" t="s">
        <v>143</v>
      </c>
      <c r="F61" s="72" t="s">
        <v>137</v>
      </c>
      <c r="G61" s="72">
        <v>7</v>
      </c>
      <c r="H61" s="75">
        <v>7</v>
      </c>
      <c r="I61" s="75">
        <f t="shared" si="4"/>
        <v>0</v>
      </c>
      <c r="J61" s="75">
        <v>5</v>
      </c>
      <c r="K61" s="75">
        <f t="shared" si="5"/>
        <v>-2</v>
      </c>
      <c r="L61" s="33">
        <v>0</v>
      </c>
      <c r="M61" s="33">
        <v>0</v>
      </c>
      <c r="N61" s="33">
        <v>0</v>
      </c>
      <c r="O61" s="33">
        <v>0</v>
      </c>
      <c r="P61" s="33">
        <v>0</v>
      </c>
      <c r="Q61" s="33">
        <v>0</v>
      </c>
      <c r="R61" s="33">
        <v>0</v>
      </c>
      <c r="S61" s="33">
        <v>0</v>
      </c>
      <c r="T61" s="33">
        <v>0</v>
      </c>
      <c r="U61" s="33">
        <v>0</v>
      </c>
      <c r="V61" s="33">
        <v>0</v>
      </c>
      <c r="W61" s="33">
        <v>0</v>
      </c>
      <c r="X61" s="33">
        <v>1</v>
      </c>
      <c r="Y61" s="33">
        <v>1</v>
      </c>
      <c r="Z61" s="33">
        <v>1</v>
      </c>
      <c r="AA61" s="33">
        <v>1</v>
      </c>
      <c r="AB61" s="33">
        <v>1</v>
      </c>
      <c r="AC61" s="33">
        <v>2</v>
      </c>
      <c r="AD61" s="33">
        <v>0</v>
      </c>
      <c r="AE61" s="33">
        <v>0</v>
      </c>
      <c r="AF61" s="33">
        <v>0</v>
      </c>
    </row>
    <row r="62" spans="2:32" ht="13.5" customHeight="1" x14ac:dyDescent="0.3">
      <c r="B62" s="178" t="s">
        <v>227</v>
      </c>
      <c r="C62" s="177" t="s">
        <v>94</v>
      </c>
      <c r="D62" s="179" t="s">
        <v>662</v>
      </c>
      <c r="E62" s="72" t="s">
        <v>143</v>
      </c>
      <c r="F62" s="72" t="s">
        <v>137</v>
      </c>
      <c r="G62" s="72">
        <v>5</v>
      </c>
      <c r="H62" s="75">
        <v>5</v>
      </c>
      <c r="I62" s="75">
        <f t="shared" si="4"/>
        <v>0</v>
      </c>
      <c r="J62" s="75">
        <v>6</v>
      </c>
      <c r="K62" s="75">
        <f t="shared" si="5"/>
        <v>1</v>
      </c>
      <c r="L62" s="33">
        <v>0</v>
      </c>
      <c r="M62" s="33">
        <v>0</v>
      </c>
      <c r="N62" s="33">
        <v>0</v>
      </c>
      <c r="O62" s="33">
        <v>0</v>
      </c>
      <c r="P62" s="33">
        <v>0</v>
      </c>
      <c r="Q62" s="33">
        <v>0</v>
      </c>
      <c r="R62" s="33">
        <v>0</v>
      </c>
      <c r="S62" s="33">
        <v>0</v>
      </c>
      <c r="T62" s="33">
        <v>0</v>
      </c>
      <c r="U62" s="33">
        <v>0</v>
      </c>
      <c r="V62" s="33">
        <v>0</v>
      </c>
      <c r="W62" s="33">
        <v>0</v>
      </c>
      <c r="X62" s="33">
        <v>0</v>
      </c>
      <c r="Y62" s="33">
        <v>0</v>
      </c>
      <c r="Z62" s="33">
        <v>1</v>
      </c>
      <c r="AA62" s="33">
        <v>1</v>
      </c>
      <c r="AB62" s="33">
        <v>1</v>
      </c>
      <c r="AC62" s="33">
        <v>1</v>
      </c>
      <c r="AD62" s="33">
        <v>1</v>
      </c>
      <c r="AE62" s="33">
        <v>0</v>
      </c>
      <c r="AF62" s="33">
        <v>0</v>
      </c>
    </row>
    <row r="63" spans="2:32" ht="13.5" customHeight="1" x14ac:dyDescent="0.3">
      <c r="B63" s="178" t="s">
        <v>229</v>
      </c>
      <c r="C63" s="177" t="s">
        <v>94</v>
      </c>
      <c r="D63" s="179" t="s">
        <v>663</v>
      </c>
      <c r="E63" s="72" t="s">
        <v>151</v>
      </c>
      <c r="F63" s="72" t="s">
        <v>137</v>
      </c>
      <c r="G63" s="72">
        <v>8</v>
      </c>
      <c r="H63" s="75">
        <v>8</v>
      </c>
      <c r="I63" s="75">
        <f t="shared" si="4"/>
        <v>0</v>
      </c>
      <c r="J63" s="75">
        <v>7</v>
      </c>
      <c r="K63" s="75">
        <f t="shared" si="5"/>
        <v>-1</v>
      </c>
      <c r="L63" s="33">
        <v>0</v>
      </c>
      <c r="M63" s="33">
        <v>0</v>
      </c>
      <c r="N63" s="33">
        <v>0</v>
      </c>
      <c r="O63" s="33">
        <v>0</v>
      </c>
      <c r="P63" s="33">
        <v>0</v>
      </c>
      <c r="Q63" s="33">
        <v>0</v>
      </c>
      <c r="R63" s="33">
        <v>0</v>
      </c>
      <c r="S63" s="33">
        <v>0</v>
      </c>
      <c r="T63" s="33">
        <v>0</v>
      </c>
      <c r="U63" s="33">
        <v>0</v>
      </c>
      <c r="V63" s="33">
        <v>0</v>
      </c>
      <c r="W63" s="33">
        <v>0</v>
      </c>
      <c r="X63" s="33">
        <v>0</v>
      </c>
      <c r="Y63" s="33">
        <v>2</v>
      </c>
      <c r="Z63" s="33">
        <v>2</v>
      </c>
      <c r="AA63" s="33">
        <v>2</v>
      </c>
      <c r="AB63" s="33">
        <v>2</v>
      </c>
      <c r="AC63" s="33">
        <v>0</v>
      </c>
      <c r="AD63" s="33">
        <v>0</v>
      </c>
      <c r="AE63" s="33">
        <v>0</v>
      </c>
      <c r="AF63" s="33">
        <v>0</v>
      </c>
    </row>
    <row r="64" spans="2:32" ht="13.5" customHeight="1" x14ac:dyDescent="0.3">
      <c r="B64" s="178" t="s">
        <v>231</v>
      </c>
      <c r="C64" s="177" t="s">
        <v>95</v>
      </c>
      <c r="D64" s="179" t="s">
        <v>664</v>
      </c>
      <c r="E64" s="72" t="s">
        <v>151</v>
      </c>
      <c r="F64" s="72" t="s">
        <v>137</v>
      </c>
      <c r="G64" s="72">
        <v>10</v>
      </c>
      <c r="H64" s="75">
        <v>8</v>
      </c>
      <c r="I64" s="75">
        <f t="shared" si="4"/>
        <v>2</v>
      </c>
      <c r="J64" s="75">
        <v>10</v>
      </c>
      <c r="K64" s="75">
        <f t="shared" si="5"/>
        <v>0</v>
      </c>
      <c r="L64" s="33">
        <v>0</v>
      </c>
      <c r="M64" s="33">
        <v>0</v>
      </c>
      <c r="N64" s="33">
        <v>0</v>
      </c>
      <c r="O64" s="33">
        <v>0</v>
      </c>
      <c r="P64" s="33">
        <v>0</v>
      </c>
      <c r="Q64" s="33">
        <v>0</v>
      </c>
      <c r="R64" s="33">
        <v>0</v>
      </c>
      <c r="S64" s="33">
        <v>0</v>
      </c>
      <c r="T64" s="33">
        <v>0</v>
      </c>
      <c r="U64" s="33">
        <v>0</v>
      </c>
      <c r="V64" s="33">
        <v>0</v>
      </c>
      <c r="W64" s="33">
        <v>0</v>
      </c>
      <c r="X64" s="33">
        <v>0</v>
      </c>
      <c r="Y64" s="33">
        <v>0</v>
      </c>
      <c r="Z64" s="33">
        <v>2</v>
      </c>
      <c r="AA64" s="33">
        <v>2</v>
      </c>
      <c r="AB64" s="33">
        <v>2</v>
      </c>
      <c r="AC64" s="33">
        <v>2</v>
      </c>
      <c r="AD64" s="33">
        <v>2</v>
      </c>
      <c r="AE64" s="33">
        <v>0</v>
      </c>
      <c r="AF64" s="33">
        <v>0</v>
      </c>
    </row>
    <row r="65" spans="2:32" ht="13.5" customHeight="1" x14ac:dyDescent="0.3">
      <c r="B65" s="178" t="s">
        <v>273</v>
      </c>
      <c r="C65" s="177" t="s">
        <v>95</v>
      </c>
      <c r="D65" s="179" t="s">
        <v>665</v>
      </c>
      <c r="E65" s="72" t="s">
        <v>136</v>
      </c>
      <c r="F65" s="72" t="s">
        <v>137</v>
      </c>
      <c r="G65" s="72">
        <v>7</v>
      </c>
      <c r="H65" s="75">
        <v>7</v>
      </c>
      <c r="I65" s="75">
        <f t="shared" si="4"/>
        <v>0</v>
      </c>
      <c r="J65" s="75">
        <v>8</v>
      </c>
      <c r="K65" s="75">
        <f t="shared" si="5"/>
        <v>1</v>
      </c>
      <c r="L65" s="33">
        <v>0</v>
      </c>
      <c r="M65" s="33">
        <v>0</v>
      </c>
      <c r="N65" s="33">
        <v>0</v>
      </c>
      <c r="O65" s="33">
        <v>0</v>
      </c>
      <c r="P65" s="33">
        <v>0</v>
      </c>
      <c r="Q65" s="33">
        <v>0</v>
      </c>
      <c r="R65" s="33">
        <v>0</v>
      </c>
      <c r="S65" s="33">
        <v>0</v>
      </c>
      <c r="T65" s="33">
        <v>0</v>
      </c>
      <c r="U65" s="33">
        <v>0</v>
      </c>
      <c r="V65" s="33">
        <v>0</v>
      </c>
      <c r="W65" s="33">
        <v>0</v>
      </c>
      <c r="X65" s="33">
        <v>0</v>
      </c>
      <c r="Y65" s="33">
        <v>0</v>
      </c>
      <c r="Z65" s="33">
        <v>1</v>
      </c>
      <c r="AA65" s="33">
        <v>2</v>
      </c>
      <c r="AB65" s="33">
        <v>2</v>
      </c>
      <c r="AC65" s="33">
        <v>2</v>
      </c>
      <c r="AD65" s="33">
        <v>0</v>
      </c>
      <c r="AE65" s="33">
        <v>0</v>
      </c>
      <c r="AF65" s="33">
        <v>0</v>
      </c>
    </row>
    <row r="66" spans="2:32" ht="13.5" customHeight="1" x14ac:dyDescent="0.3">
      <c r="B66" s="178" t="s">
        <v>274</v>
      </c>
      <c r="C66" s="177" t="s">
        <v>96</v>
      </c>
      <c r="D66" s="179" t="s">
        <v>312</v>
      </c>
      <c r="E66" s="72" t="s">
        <v>136</v>
      </c>
      <c r="F66" s="72" t="s">
        <v>137</v>
      </c>
      <c r="G66" s="72">
        <v>10</v>
      </c>
      <c r="H66" s="75">
        <v>10</v>
      </c>
      <c r="I66" s="75">
        <f t="shared" si="4"/>
        <v>0</v>
      </c>
      <c r="J66" s="75">
        <v>12</v>
      </c>
      <c r="K66" s="75">
        <f t="shared" si="5"/>
        <v>2</v>
      </c>
      <c r="L66" s="33">
        <v>0</v>
      </c>
      <c r="M66" s="33">
        <v>0</v>
      </c>
      <c r="N66" s="33">
        <v>0</v>
      </c>
      <c r="O66" s="33">
        <v>0</v>
      </c>
      <c r="P66" s="33">
        <v>0</v>
      </c>
      <c r="Q66" s="33">
        <v>0</v>
      </c>
      <c r="R66" s="33">
        <v>0</v>
      </c>
      <c r="S66" s="33">
        <v>0</v>
      </c>
      <c r="T66" s="33">
        <v>0</v>
      </c>
      <c r="U66" s="33">
        <v>0</v>
      </c>
      <c r="V66" s="33">
        <v>0</v>
      </c>
      <c r="W66" s="33">
        <v>0</v>
      </c>
      <c r="X66" s="33">
        <v>0</v>
      </c>
      <c r="Y66" s="33">
        <v>0</v>
      </c>
      <c r="Z66" s="33">
        <v>3</v>
      </c>
      <c r="AA66" s="33">
        <v>2</v>
      </c>
      <c r="AB66" s="33">
        <v>0</v>
      </c>
      <c r="AC66" s="33">
        <v>2</v>
      </c>
      <c r="AD66" s="33">
        <v>3</v>
      </c>
      <c r="AE66" s="33">
        <v>0</v>
      </c>
      <c r="AF66" s="33">
        <v>0</v>
      </c>
    </row>
    <row r="67" spans="2:32" ht="13.5" customHeight="1" x14ac:dyDescent="0.3">
      <c r="B67" s="178" t="s">
        <v>275</v>
      </c>
      <c r="C67" s="177" t="s">
        <v>96</v>
      </c>
      <c r="D67" s="179" t="s">
        <v>313</v>
      </c>
      <c r="E67" s="72" t="s">
        <v>151</v>
      </c>
      <c r="F67" s="72" t="s">
        <v>137</v>
      </c>
      <c r="G67" s="72">
        <v>8</v>
      </c>
      <c r="H67" s="75">
        <v>8</v>
      </c>
      <c r="I67" s="75">
        <f t="shared" si="4"/>
        <v>0</v>
      </c>
      <c r="J67" s="75">
        <v>5</v>
      </c>
      <c r="K67" s="75">
        <f t="shared" si="5"/>
        <v>-3</v>
      </c>
      <c r="L67" s="33">
        <v>0</v>
      </c>
      <c r="M67" s="33">
        <v>0</v>
      </c>
      <c r="N67" s="33">
        <v>0</v>
      </c>
      <c r="O67" s="33">
        <v>0</v>
      </c>
      <c r="P67" s="33">
        <v>0</v>
      </c>
      <c r="Q67" s="33">
        <v>0</v>
      </c>
      <c r="R67" s="33">
        <v>0</v>
      </c>
      <c r="S67" s="33">
        <v>0</v>
      </c>
      <c r="T67" s="33">
        <v>0</v>
      </c>
      <c r="U67" s="33">
        <v>0</v>
      </c>
      <c r="V67" s="33">
        <v>0</v>
      </c>
      <c r="W67" s="33">
        <v>0</v>
      </c>
      <c r="X67" s="33">
        <v>0</v>
      </c>
      <c r="Y67" s="33">
        <v>0</v>
      </c>
      <c r="Z67" s="33">
        <v>2</v>
      </c>
      <c r="AA67" s="33">
        <v>0</v>
      </c>
      <c r="AB67" s="33">
        <v>2</v>
      </c>
      <c r="AC67" s="33">
        <v>2</v>
      </c>
      <c r="AD67" s="33">
        <v>2</v>
      </c>
      <c r="AE67" s="33">
        <v>0</v>
      </c>
      <c r="AF67" s="33">
        <v>0</v>
      </c>
    </row>
    <row r="68" spans="2:32" ht="13.5" customHeight="1" x14ac:dyDescent="0.3">
      <c r="B68" s="178" t="s">
        <v>276</v>
      </c>
      <c r="C68" s="177" t="s">
        <v>97</v>
      </c>
      <c r="D68" s="179" t="s">
        <v>666</v>
      </c>
      <c r="E68" s="72" t="s">
        <v>151</v>
      </c>
      <c r="F68" s="72" t="s">
        <v>137</v>
      </c>
      <c r="G68" s="72">
        <v>5</v>
      </c>
      <c r="H68" s="75">
        <v>5</v>
      </c>
      <c r="I68" s="75">
        <f t="shared" si="4"/>
        <v>0</v>
      </c>
      <c r="J68" s="75">
        <v>6</v>
      </c>
      <c r="K68" s="75">
        <f t="shared" si="5"/>
        <v>1</v>
      </c>
      <c r="L68" s="33">
        <v>0</v>
      </c>
      <c r="M68" s="33">
        <v>0</v>
      </c>
      <c r="N68" s="33">
        <v>0</v>
      </c>
      <c r="O68" s="33">
        <v>0</v>
      </c>
      <c r="P68" s="33">
        <v>0</v>
      </c>
      <c r="Q68" s="33">
        <v>0</v>
      </c>
      <c r="R68" s="33">
        <v>0</v>
      </c>
      <c r="S68" s="33">
        <v>0</v>
      </c>
      <c r="T68" s="33">
        <v>0</v>
      </c>
      <c r="U68" s="33">
        <v>0</v>
      </c>
      <c r="V68" s="33">
        <v>0</v>
      </c>
      <c r="W68" s="33">
        <v>0</v>
      </c>
      <c r="X68" s="33">
        <v>0</v>
      </c>
      <c r="Y68" s="33">
        <v>0</v>
      </c>
      <c r="Z68" s="33">
        <v>0</v>
      </c>
      <c r="AA68" s="33">
        <v>2</v>
      </c>
      <c r="AB68" s="33">
        <v>0</v>
      </c>
      <c r="AC68" s="33">
        <v>2</v>
      </c>
      <c r="AD68" s="33">
        <v>1</v>
      </c>
      <c r="AE68" s="33">
        <v>0</v>
      </c>
      <c r="AF68" s="33">
        <v>0</v>
      </c>
    </row>
    <row r="69" spans="2:32" ht="13.5" customHeight="1" x14ac:dyDescent="0.3">
      <c r="B69" s="178" t="s">
        <v>278</v>
      </c>
      <c r="C69" s="177" t="s">
        <v>97</v>
      </c>
      <c r="D69" s="179" t="s">
        <v>667</v>
      </c>
      <c r="E69" s="72" t="s">
        <v>143</v>
      </c>
      <c r="F69" s="72" t="s">
        <v>137</v>
      </c>
      <c r="G69" s="72">
        <v>10</v>
      </c>
      <c r="H69" s="75">
        <v>10</v>
      </c>
      <c r="I69" s="75">
        <f t="shared" si="4"/>
        <v>0</v>
      </c>
      <c r="J69" s="75">
        <v>9</v>
      </c>
      <c r="K69" s="75">
        <f t="shared" si="5"/>
        <v>-1</v>
      </c>
      <c r="L69" s="33">
        <v>0</v>
      </c>
      <c r="M69" s="33">
        <v>0</v>
      </c>
      <c r="N69" s="33">
        <v>0</v>
      </c>
      <c r="O69" s="33">
        <v>0</v>
      </c>
      <c r="P69" s="33">
        <v>0</v>
      </c>
      <c r="Q69" s="33">
        <v>0</v>
      </c>
      <c r="R69" s="33">
        <v>0</v>
      </c>
      <c r="S69" s="33">
        <v>0</v>
      </c>
      <c r="T69" s="33">
        <v>0</v>
      </c>
      <c r="U69" s="33">
        <v>0</v>
      </c>
      <c r="V69" s="33">
        <v>0</v>
      </c>
      <c r="W69" s="33">
        <v>1</v>
      </c>
      <c r="X69" s="33">
        <v>1</v>
      </c>
      <c r="Y69" s="33">
        <v>0</v>
      </c>
      <c r="Z69" s="33">
        <v>1</v>
      </c>
      <c r="AA69" s="33">
        <v>2</v>
      </c>
      <c r="AB69" s="33">
        <v>2</v>
      </c>
      <c r="AC69" s="33">
        <v>3</v>
      </c>
      <c r="AD69" s="33">
        <v>0</v>
      </c>
      <c r="AE69" s="33">
        <v>0</v>
      </c>
      <c r="AF69" s="33">
        <v>0</v>
      </c>
    </row>
    <row r="70" spans="2:32" ht="13.5" customHeight="1" x14ac:dyDescent="0.3">
      <c r="B70" s="178" t="s">
        <v>280</v>
      </c>
      <c r="C70" s="177" t="s">
        <v>100</v>
      </c>
      <c r="D70" s="179" t="s">
        <v>668</v>
      </c>
      <c r="E70" s="182" t="s">
        <v>146</v>
      </c>
      <c r="F70" s="72" t="s">
        <v>137</v>
      </c>
      <c r="G70" s="72"/>
      <c r="H70" s="75"/>
      <c r="I70" s="75"/>
      <c r="J70" s="75"/>
      <c r="K70" s="75"/>
      <c r="L70" s="33"/>
      <c r="M70" s="33"/>
      <c r="N70" s="33"/>
      <c r="O70" s="33"/>
      <c r="P70" s="33"/>
      <c r="Q70" s="33"/>
      <c r="R70" s="33"/>
      <c r="S70" s="33"/>
      <c r="T70" s="33"/>
      <c r="U70" s="33"/>
      <c r="V70" s="33"/>
      <c r="W70" s="33"/>
      <c r="X70" s="33"/>
      <c r="Y70" s="33"/>
      <c r="Z70" s="33"/>
      <c r="AA70" s="33"/>
      <c r="AB70" s="33"/>
      <c r="AC70" s="33"/>
      <c r="AD70" s="33"/>
      <c r="AE70" s="33"/>
      <c r="AF70" s="33"/>
    </row>
    <row r="71" spans="2:32" ht="13.5" customHeight="1" x14ac:dyDescent="0.3">
      <c r="B71" s="178" t="s">
        <v>282</v>
      </c>
      <c r="C71" s="177" t="s">
        <v>100</v>
      </c>
      <c r="D71" s="179" t="s">
        <v>669</v>
      </c>
      <c r="E71" s="182" t="s">
        <v>146</v>
      </c>
      <c r="F71" s="72" t="s">
        <v>137</v>
      </c>
      <c r="G71" s="72"/>
      <c r="H71" s="75"/>
      <c r="I71" s="75"/>
      <c r="J71" s="75"/>
      <c r="K71" s="75"/>
      <c r="L71" s="33"/>
      <c r="M71" s="33"/>
      <c r="N71" s="33"/>
      <c r="O71" s="33"/>
      <c r="P71" s="33"/>
      <c r="Q71" s="33"/>
      <c r="R71" s="33"/>
      <c r="S71" s="33"/>
      <c r="T71" s="33"/>
      <c r="U71" s="33"/>
      <c r="V71" s="33"/>
      <c r="W71" s="33"/>
      <c r="X71" s="33"/>
      <c r="Y71" s="33"/>
      <c r="Z71" s="33"/>
      <c r="AA71" s="33"/>
      <c r="AB71" s="33"/>
      <c r="AC71" s="33"/>
      <c r="AD71" s="33"/>
      <c r="AE71" s="33"/>
      <c r="AF71" s="33"/>
    </row>
    <row r="72" spans="2:32" ht="13.5" customHeight="1" x14ac:dyDescent="0.3">
      <c r="B72" s="178" t="s">
        <v>284</v>
      </c>
      <c r="C72" s="177" t="s">
        <v>101</v>
      </c>
      <c r="D72" s="179" t="s">
        <v>670</v>
      </c>
      <c r="E72" s="182" t="s">
        <v>146</v>
      </c>
      <c r="F72" s="72" t="s">
        <v>137</v>
      </c>
      <c r="G72" s="72"/>
      <c r="H72" s="75"/>
      <c r="I72" s="75"/>
      <c r="J72" s="75"/>
      <c r="K72" s="75"/>
      <c r="L72" s="33"/>
      <c r="M72" s="33"/>
      <c r="N72" s="33"/>
      <c r="O72" s="33"/>
      <c r="P72" s="33"/>
      <c r="Q72" s="33"/>
      <c r="R72" s="33"/>
      <c r="S72" s="33"/>
      <c r="T72" s="33"/>
      <c r="U72" s="33"/>
      <c r="V72" s="33"/>
      <c r="W72" s="33"/>
      <c r="X72" s="33"/>
      <c r="Y72" s="33"/>
      <c r="Z72" s="33"/>
      <c r="AA72" s="33"/>
      <c r="AB72" s="33"/>
      <c r="AC72" s="33"/>
      <c r="AD72" s="33"/>
      <c r="AE72" s="33"/>
      <c r="AF72" s="33"/>
    </row>
    <row r="73" spans="2:32" ht="13.5" customHeight="1" x14ac:dyDescent="0.3">
      <c r="B73" s="178" t="s">
        <v>327</v>
      </c>
      <c r="C73" s="177" t="s">
        <v>101</v>
      </c>
      <c r="D73" s="179" t="s">
        <v>671</v>
      </c>
      <c r="E73" s="182" t="s">
        <v>146</v>
      </c>
      <c r="F73" s="72" t="s">
        <v>137</v>
      </c>
      <c r="G73" s="72"/>
      <c r="H73" s="75"/>
      <c r="I73" s="75"/>
      <c r="J73" s="75"/>
      <c r="K73" s="75"/>
      <c r="L73" s="33"/>
      <c r="M73" s="33"/>
      <c r="N73" s="33"/>
      <c r="O73" s="33"/>
      <c r="P73" s="33"/>
      <c r="Q73" s="33"/>
      <c r="R73" s="33"/>
      <c r="S73" s="33"/>
      <c r="T73" s="33"/>
      <c r="U73" s="33"/>
      <c r="V73" s="33"/>
      <c r="W73" s="33"/>
      <c r="X73" s="33"/>
      <c r="Y73" s="33"/>
      <c r="Z73" s="33"/>
      <c r="AA73" s="33"/>
      <c r="AB73" s="33"/>
      <c r="AC73" s="33"/>
      <c r="AD73" s="33"/>
      <c r="AE73" s="33"/>
      <c r="AF73" s="33"/>
    </row>
    <row r="74" spans="2:32" ht="13.5" customHeight="1" x14ac:dyDescent="0.3">
      <c r="B74" s="178" t="s">
        <v>286</v>
      </c>
      <c r="C74" s="177" t="s">
        <v>390</v>
      </c>
      <c r="D74" s="179" t="s">
        <v>672</v>
      </c>
      <c r="E74" s="177" t="s">
        <v>151</v>
      </c>
      <c r="F74" s="72" t="s">
        <v>137</v>
      </c>
      <c r="G74" s="72"/>
      <c r="H74" s="75"/>
      <c r="I74" s="75"/>
      <c r="J74" s="75"/>
      <c r="K74" s="75"/>
      <c r="L74" s="33"/>
      <c r="M74" s="33"/>
      <c r="N74" s="33"/>
      <c r="O74" s="33"/>
      <c r="P74" s="33"/>
      <c r="Q74" s="33"/>
      <c r="R74" s="33"/>
      <c r="S74" s="33"/>
      <c r="T74" s="33"/>
      <c r="U74" s="33"/>
      <c r="V74" s="33"/>
      <c r="W74" s="33"/>
      <c r="X74" s="33"/>
      <c r="Y74" s="33"/>
      <c r="Z74" s="33"/>
      <c r="AA74" s="33"/>
      <c r="AB74" s="33"/>
      <c r="AC74" s="33"/>
      <c r="AD74" s="33"/>
      <c r="AE74" s="33"/>
      <c r="AF74" s="33"/>
    </row>
    <row r="75" spans="2:32" ht="13.5" customHeight="1" x14ac:dyDescent="0.3">
      <c r="B75" s="178" t="s">
        <v>288</v>
      </c>
      <c r="C75" s="177" t="s">
        <v>390</v>
      </c>
      <c r="D75" s="179" t="s">
        <v>673</v>
      </c>
      <c r="E75" s="177" t="s">
        <v>151</v>
      </c>
      <c r="F75" s="72" t="s">
        <v>137</v>
      </c>
      <c r="G75" s="72"/>
      <c r="H75" s="75"/>
      <c r="I75" s="75"/>
      <c r="J75" s="75"/>
      <c r="K75" s="75"/>
      <c r="L75" s="33"/>
      <c r="M75" s="33"/>
      <c r="N75" s="33"/>
      <c r="O75" s="33"/>
      <c r="P75" s="33"/>
      <c r="Q75" s="33"/>
      <c r="R75" s="33"/>
      <c r="S75" s="33"/>
      <c r="T75" s="33"/>
      <c r="U75" s="33"/>
      <c r="V75" s="33"/>
      <c r="W75" s="33"/>
      <c r="X75" s="33"/>
      <c r="Y75" s="33"/>
      <c r="Z75" s="33"/>
      <c r="AA75" s="33"/>
      <c r="AB75" s="33"/>
      <c r="AC75" s="33"/>
      <c r="AD75" s="33"/>
      <c r="AE75" s="33"/>
      <c r="AF75" s="33"/>
    </row>
    <row r="76" spans="2:32" ht="13.5" customHeight="1" x14ac:dyDescent="0.3">
      <c r="B76" s="178" t="s">
        <v>290</v>
      </c>
      <c r="C76" s="177" t="s">
        <v>391</v>
      </c>
      <c r="D76" s="179" t="s">
        <v>674</v>
      </c>
      <c r="E76" s="177" t="s">
        <v>151</v>
      </c>
      <c r="F76" s="72" t="s">
        <v>137</v>
      </c>
      <c r="G76" s="72"/>
      <c r="H76" s="75"/>
      <c r="I76" s="75"/>
      <c r="J76" s="75"/>
      <c r="K76" s="75"/>
      <c r="L76" s="33"/>
      <c r="M76" s="33"/>
      <c r="N76" s="33"/>
      <c r="O76" s="33"/>
      <c r="P76" s="33"/>
      <c r="Q76" s="33"/>
      <c r="R76" s="33"/>
      <c r="S76" s="33"/>
      <c r="T76" s="33"/>
      <c r="U76" s="33"/>
      <c r="V76" s="33"/>
      <c r="W76" s="33"/>
      <c r="X76" s="33"/>
      <c r="Y76" s="33"/>
      <c r="Z76" s="33"/>
      <c r="AA76" s="33"/>
      <c r="AB76" s="33"/>
      <c r="AC76" s="33"/>
      <c r="AD76" s="33"/>
      <c r="AE76" s="33"/>
      <c r="AF76" s="33"/>
    </row>
    <row r="77" spans="2:32" ht="13.5" customHeight="1" x14ac:dyDescent="0.3">
      <c r="B77" s="178" t="s">
        <v>291</v>
      </c>
      <c r="C77" s="177" t="s">
        <v>391</v>
      </c>
      <c r="D77" s="179" t="s">
        <v>675</v>
      </c>
      <c r="E77" s="177" t="s">
        <v>151</v>
      </c>
      <c r="F77" s="72" t="s">
        <v>137</v>
      </c>
      <c r="G77" s="72"/>
      <c r="H77" s="75"/>
      <c r="I77" s="75"/>
      <c r="J77" s="75"/>
      <c r="K77" s="75"/>
      <c r="L77" s="33"/>
      <c r="M77" s="33"/>
      <c r="N77" s="33"/>
      <c r="O77" s="33"/>
      <c r="P77" s="33"/>
      <c r="Q77" s="33"/>
      <c r="R77" s="33"/>
      <c r="S77" s="33"/>
      <c r="T77" s="33"/>
      <c r="U77" s="33"/>
      <c r="V77" s="33"/>
      <c r="W77" s="33"/>
      <c r="X77" s="33"/>
      <c r="Y77" s="33"/>
      <c r="Z77" s="33"/>
      <c r="AA77" s="33"/>
      <c r="AB77" s="33"/>
      <c r="AC77" s="33"/>
      <c r="AD77" s="33"/>
      <c r="AE77" s="33"/>
      <c r="AF77" s="33"/>
    </row>
    <row r="78" spans="2:32" ht="13.5" customHeight="1" x14ac:dyDescent="0.3">
      <c r="B78" s="178" t="s">
        <v>293</v>
      </c>
      <c r="C78" s="177" t="s">
        <v>392</v>
      </c>
      <c r="D78" s="179" t="s">
        <v>262</v>
      </c>
      <c r="E78" s="177" t="s">
        <v>136</v>
      </c>
      <c r="F78" s="72" t="s">
        <v>137</v>
      </c>
      <c r="G78" s="72"/>
      <c r="H78" s="75"/>
      <c r="I78" s="75"/>
      <c r="J78" s="75"/>
      <c r="K78" s="75"/>
      <c r="L78" s="33"/>
      <c r="M78" s="33"/>
      <c r="N78" s="33"/>
      <c r="O78" s="33"/>
      <c r="P78" s="33"/>
      <c r="Q78" s="33"/>
      <c r="R78" s="33"/>
      <c r="S78" s="33"/>
      <c r="T78" s="33"/>
      <c r="U78" s="33"/>
      <c r="V78" s="33"/>
      <c r="W78" s="33"/>
      <c r="X78" s="33"/>
      <c r="Y78" s="33"/>
      <c r="Z78" s="33"/>
      <c r="AA78" s="33"/>
      <c r="AB78" s="33"/>
      <c r="AC78" s="33"/>
      <c r="AD78" s="33"/>
      <c r="AE78" s="33"/>
      <c r="AF78" s="33"/>
    </row>
    <row r="79" spans="2:32" ht="13.5" customHeight="1" x14ac:dyDescent="0.3">
      <c r="B79" s="178" t="s">
        <v>295</v>
      </c>
      <c r="C79" s="177" t="s">
        <v>392</v>
      </c>
      <c r="D79" s="179" t="s">
        <v>263</v>
      </c>
      <c r="E79" s="177" t="s">
        <v>136</v>
      </c>
      <c r="F79" s="72" t="s">
        <v>137</v>
      </c>
      <c r="G79" s="72"/>
      <c r="H79" s="75"/>
      <c r="I79" s="75"/>
      <c r="J79" s="75"/>
      <c r="K79" s="75"/>
      <c r="L79" s="33"/>
      <c r="M79" s="33"/>
      <c r="N79" s="33"/>
      <c r="O79" s="33"/>
      <c r="P79" s="33"/>
      <c r="Q79" s="33"/>
      <c r="R79" s="33"/>
      <c r="S79" s="33"/>
      <c r="T79" s="33"/>
      <c r="U79" s="33"/>
      <c r="V79" s="33"/>
      <c r="W79" s="33"/>
      <c r="X79" s="33"/>
      <c r="Y79" s="33"/>
      <c r="Z79" s="33"/>
      <c r="AA79" s="33"/>
      <c r="AB79" s="33"/>
      <c r="AC79" s="33"/>
      <c r="AD79" s="33"/>
      <c r="AE79" s="33"/>
      <c r="AF79" s="33"/>
    </row>
    <row r="80" spans="2:32" ht="13.5" customHeight="1" x14ac:dyDescent="0.3">
      <c r="B80" s="178" t="s">
        <v>571</v>
      </c>
      <c r="C80" s="177" t="s">
        <v>414</v>
      </c>
      <c r="D80" s="179" t="s">
        <v>264</v>
      </c>
      <c r="E80" s="177" t="s">
        <v>136</v>
      </c>
      <c r="F80" s="72" t="s">
        <v>137</v>
      </c>
      <c r="G80" s="72"/>
      <c r="H80" s="75"/>
      <c r="I80" s="75"/>
      <c r="J80" s="75"/>
      <c r="K80" s="75"/>
      <c r="L80" s="33"/>
      <c r="M80" s="33"/>
      <c r="N80" s="33"/>
      <c r="O80" s="33"/>
      <c r="P80" s="33"/>
      <c r="Q80" s="33"/>
      <c r="R80" s="33"/>
      <c r="S80" s="33"/>
      <c r="T80" s="33"/>
      <c r="U80" s="33"/>
      <c r="V80" s="33"/>
      <c r="W80" s="33"/>
      <c r="X80" s="33"/>
      <c r="Y80" s="33"/>
      <c r="Z80" s="33"/>
      <c r="AA80" s="33"/>
      <c r="AB80" s="33"/>
      <c r="AC80" s="33"/>
      <c r="AD80" s="33"/>
      <c r="AE80" s="33"/>
      <c r="AF80" s="33"/>
    </row>
    <row r="81" spans="2:32" ht="13.5" customHeight="1" x14ac:dyDescent="0.3">
      <c r="B81" s="178" t="s">
        <v>572</v>
      </c>
      <c r="C81" s="177" t="s">
        <v>414</v>
      </c>
      <c r="D81" s="179" t="s">
        <v>265</v>
      </c>
      <c r="E81" s="177" t="s">
        <v>136</v>
      </c>
      <c r="F81" s="72" t="s">
        <v>137</v>
      </c>
      <c r="G81" s="72"/>
      <c r="H81" s="75"/>
      <c r="I81" s="75"/>
      <c r="J81" s="75"/>
      <c r="K81" s="75"/>
      <c r="L81" s="33"/>
      <c r="M81" s="33"/>
      <c r="N81" s="33"/>
      <c r="O81" s="33"/>
      <c r="P81" s="33"/>
      <c r="Q81" s="33"/>
      <c r="R81" s="33"/>
      <c r="S81" s="33"/>
      <c r="T81" s="33"/>
      <c r="U81" s="33"/>
      <c r="V81" s="33"/>
      <c r="W81" s="33"/>
      <c r="X81" s="33"/>
      <c r="Y81" s="33"/>
      <c r="Z81" s="33"/>
      <c r="AA81" s="33"/>
      <c r="AB81" s="33"/>
      <c r="AC81" s="33"/>
      <c r="AD81" s="33"/>
      <c r="AE81" s="33"/>
      <c r="AF81" s="33"/>
    </row>
    <row r="82" spans="2:32" ht="13.5" customHeight="1" x14ac:dyDescent="0.3">
      <c r="B82" s="178" t="s">
        <v>573</v>
      </c>
      <c r="C82" s="177" t="s">
        <v>415</v>
      </c>
      <c r="D82" s="84" t="s">
        <v>266</v>
      </c>
      <c r="E82" s="177" t="s">
        <v>136</v>
      </c>
      <c r="F82" s="72" t="s">
        <v>137</v>
      </c>
      <c r="G82" s="72"/>
      <c r="H82" s="75"/>
      <c r="I82" s="75"/>
      <c r="J82" s="75"/>
      <c r="K82" s="75"/>
      <c r="L82" s="33"/>
      <c r="M82" s="33"/>
      <c r="N82" s="33"/>
      <c r="O82" s="33"/>
      <c r="P82" s="33"/>
      <c r="Q82" s="33"/>
      <c r="R82" s="33"/>
      <c r="S82" s="33"/>
      <c r="T82" s="33"/>
      <c r="U82" s="33"/>
      <c r="V82" s="33"/>
      <c r="W82" s="33"/>
      <c r="X82" s="33"/>
      <c r="Y82" s="33"/>
      <c r="Z82" s="33"/>
      <c r="AA82" s="33"/>
      <c r="AB82" s="33"/>
      <c r="AC82" s="33"/>
      <c r="AD82" s="33"/>
      <c r="AE82" s="33"/>
      <c r="AF82" s="33"/>
    </row>
    <row r="83" spans="2:32" ht="13.5" customHeight="1" x14ac:dyDescent="0.3">
      <c r="B83" s="178" t="s">
        <v>574</v>
      </c>
      <c r="C83" s="177" t="s">
        <v>415</v>
      </c>
      <c r="D83" s="84" t="s">
        <v>267</v>
      </c>
      <c r="E83" s="177" t="s">
        <v>136</v>
      </c>
      <c r="F83" s="72" t="s">
        <v>137</v>
      </c>
      <c r="G83" s="72">
        <v>10</v>
      </c>
      <c r="H83" s="75">
        <v>8</v>
      </c>
      <c r="I83" s="75">
        <f t="shared" si="4"/>
        <v>2</v>
      </c>
      <c r="J83" s="75">
        <v>8</v>
      </c>
      <c r="K83" s="75">
        <f t="shared" si="5"/>
        <v>-2</v>
      </c>
      <c r="L83" s="33">
        <v>0</v>
      </c>
      <c r="M83" s="33">
        <v>0</v>
      </c>
      <c r="N83" s="33">
        <v>0</v>
      </c>
      <c r="O83" s="33">
        <v>0</v>
      </c>
      <c r="P83" s="33">
        <v>0</v>
      </c>
      <c r="Q83" s="33">
        <v>0</v>
      </c>
      <c r="R83" s="33">
        <v>0</v>
      </c>
      <c r="S83" s="33">
        <v>0</v>
      </c>
      <c r="T83" s="33">
        <v>0</v>
      </c>
      <c r="U83" s="33">
        <v>0</v>
      </c>
      <c r="V83" s="33">
        <v>0</v>
      </c>
      <c r="W83" s="33">
        <v>0</v>
      </c>
      <c r="X83" s="33">
        <v>2</v>
      </c>
      <c r="Y83" s="33">
        <v>1</v>
      </c>
      <c r="Z83" s="33">
        <v>2</v>
      </c>
      <c r="AA83" s="33">
        <v>1</v>
      </c>
      <c r="AB83" s="33">
        <v>2</v>
      </c>
      <c r="AC83" s="33">
        <v>2</v>
      </c>
      <c r="AD83" s="33">
        <v>0</v>
      </c>
      <c r="AE83" s="33">
        <v>0</v>
      </c>
      <c r="AF83" s="33">
        <v>0</v>
      </c>
    </row>
    <row r="84" spans="2:32" ht="13.5" customHeight="1" x14ac:dyDescent="0.3">
      <c r="B84" s="79"/>
      <c r="C84" s="85"/>
      <c r="D84" s="38"/>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c r="AF84" s="83"/>
    </row>
    <row r="85" spans="2:32" ht="13.5" customHeight="1" x14ac:dyDescent="0.3">
      <c r="B85" s="178" t="s">
        <v>575</v>
      </c>
      <c r="C85" s="176" t="s">
        <v>71</v>
      </c>
      <c r="D85" s="174" t="s">
        <v>633</v>
      </c>
      <c r="E85" s="182" t="s">
        <v>154</v>
      </c>
      <c r="F85" s="72" t="s">
        <v>137</v>
      </c>
      <c r="G85" s="72">
        <v>3</v>
      </c>
      <c r="H85" s="75">
        <v>3</v>
      </c>
      <c r="I85" s="75">
        <f t="shared" ref="I85:I106" si="6">G85-H85</f>
        <v>0</v>
      </c>
      <c r="J85" s="75">
        <v>3</v>
      </c>
      <c r="K85" s="75">
        <f t="shared" ref="K85:K106" si="7">SUM(J85-G85)</f>
        <v>0</v>
      </c>
      <c r="L85" s="33">
        <v>0</v>
      </c>
      <c r="M85" s="33">
        <v>0</v>
      </c>
      <c r="N85" s="33">
        <v>0</v>
      </c>
      <c r="O85" s="33">
        <v>0</v>
      </c>
      <c r="P85" s="33">
        <v>0</v>
      </c>
      <c r="Q85" s="33">
        <v>0</v>
      </c>
      <c r="R85" s="33">
        <v>0</v>
      </c>
      <c r="S85" s="33">
        <v>0</v>
      </c>
      <c r="T85" s="33">
        <v>0</v>
      </c>
      <c r="U85" s="33">
        <v>0</v>
      </c>
      <c r="V85" s="33">
        <v>0</v>
      </c>
      <c r="W85" s="33">
        <v>0</v>
      </c>
      <c r="X85" s="33">
        <v>0</v>
      </c>
      <c r="Y85" s="33">
        <v>0</v>
      </c>
      <c r="Z85" s="33">
        <v>0</v>
      </c>
      <c r="AA85" s="33">
        <v>2</v>
      </c>
      <c r="AB85" s="33">
        <v>1</v>
      </c>
      <c r="AC85" s="33">
        <v>0</v>
      </c>
      <c r="AD85" s="33">
        <v>0</v>
      </c>
      <c r="AE85" s="33">
        <v>0</v>
      </c>
      <c r="AF85" s="33">
        <v>0</v>
      </c>
    </row>
    <row r="86" spans="2:32" ht="13.5" customHeight="1" x14ac:dyDescent="0.3">
      <c r="B86" s="178" t="s">
        <v>576</v>
      </c>
      <c r="C86" s="176" t="s">
        <v>73</v>
      </c>
      <c r="D86" s="173" t="s">
        <v>634</v>
      </c>
      <c r="E86" s="182" t="s">
        <v>154</v>
      </c>
      <c r="F86" s="72" t="s">
        <v>137</v>
      </c>
      <c r="G86" s="72">
        <v>5</v>
      </c>
      <c r="H86" s="75">
        <v>4</v>
      </c>
      <c r="I86" s="75">
        <f t="shared" si="6"/>
        <v>1</v>
      </c>
      <c r="J86" s="75">
        <v>4</v>
      </c>
      <c r="K86" s="75">
        <f t="shared" si="7"/>
        <v>-1</v>
      </c>
      <c r="L86" s="33">
        <v>0</v>
      </c>
      <c r="M86" s="33">
        <v>0</v>
      </c>
      <c r="N86" s="33">
        <v>0</v>
      </c>
      <c r="O86" s="33">
        <v>0</v>
      </c>
      <c r="P86" s="33">
        <v>0</v>
      </c>
      <c r="Q86" s="33">
        <v>0</v>
      </c>
      <c r="R86" s="33">
        <v>0</v>
      </c>
      <c r="S86" s="33">
        <v>0</v>
      </c>
      <c r="T86" s="33">
        <v>0</v>
      </c>
      <c r="U86" s="33">
        <v>0</v>
      </c>
      <c r="V86" s="33">
        <v>0</v>
      </c>
      <c r="W86" s="33">
        <v>0</v>
      </c>
      <c r="X86" s="33">
        <v>0</v>
      </c>
      <c r="Y86" s="33">
        <v>0</v>
      </c>
      <c r="Z86" s="33">
        <v>0</v>
      </c>
      <c r="AA86" s="33">
        <v>0</v>
      </c>
      <c r="AB86" s="33">
        <v>2</v>
      </c>
      <c r="AC86" s="33">
        <v>1</v>
      </c>
      <c r="AD86" s="33">
        <v>1</v>
      </c>
      <c r="AE86" s="33">
        <v>0</v>
      </c>
      <c r="AF86" s="33">
        <v>0</v>
      </c>
    </row>
    <row r="87" spans="2:32" ht="13.5" customHeight="1" x14ac:dyDescent="0.3">
      <c r="B87" s="178" t="s">
        <v>577</v>
      </c>
      <c r="C87" s="176" t="s">
        <v>74</v>
      </c>
      <c r="D87" s="173" t="s">
        <v>635</v>
      </c>
      <c r="E87" s="182" t="s">
        <v>154</v>
      </c>
      <c r="F87" s="72" t="s">
        <v>137</v>
      </c>
      <c r="G87" s="72">
        <v>2</v>
      </c>
      <c r="H87" s="75">
        <v>2</v>
      </c>
      <c r="I87" s="75">
        <f t="shared" si="6"/>
        <v>0</v>
      </c>
      <c r="J87" s="75">
        <v>3</v>
      </c>
      <c r="K87" s="75">
        <f t="shared" si="7"/>
        <v>1</v>
      </c>
      <c r="L87" s="33">
        <v>0</v>
      </c>
      <c r="M87" s="33">
        <v>0</v>
      </c>
      <c r="N87" s="33">
        <v>0</v>
      </c>
      <c r="O87" s="33">
        <v>0</v>
      </c>
      <c r="P87" s="33">
        <v>0</v>
      </c>
      <c r="Q87" s="33">
        <v>0</v>
      </c>
      <c r="R87" s="33">
        <v>0</v>
      </c>
      <c r="S87" s="33">
        <v>0</v>
      </c>
      <c r="T87" s="33">
        <v>0</v>
      </c>
      <c r="U87" s="33">
        <v>0</v>
      </c>
      <c r="V87" s="33">
        <v>0</v>
      </c>
      <c r="W87" s="33">
        <v>0</v>
      </c>
      <c r="X87" s="33">
        <v>0</v>
      </c>
      <c r="Y87" s="33">
        <v>0</v>
      </c>
      <c r="Z87" s="33">
        <v>0</v>
      </c>
      <c r="AA87" s="33">
        <v>1</v>
      </c>
      <c r="AB87" s="33">
        <v>1</v>
      </c>
      <c r="AC87" s="33">
        <v>0</v>
      </c>
      <c r="AD87" s="33">
        <v>0</v>
      </c>
      <c r="AE87" s="33">
        <v>0</v>
      </c>
      <c r="AF87" s="33">
        <v>0</v>
      </c>
    </row>
    <row r="88" spans="2:32" ht="13.5" customHeight="1" x14ac:dyDescent="0.3">
      <c r="B88" s="178" t="s">
        <v>578</v>
      </c>
      <c r="C88" s="176" t="s">
        <v>75</v>
      </c>
      <c r="D88" s="173" t="s">
        <v>636</v>
      </c>
      <c r="E88" s="182" t="s">
        <v>154</v>
      </c>
      <c r="F88" s="72" t="s">
        <v>137</v>
      </c>
      <c r="G88" s="72">
        <v>2</v>
      </c>
      <c r="H88" s="75">
        <v>2</v>
      </c>
      <c r="I88" s="75">
        <f t="shared" si="6"/>
        <v>0</v>
      </c>
      <c r="J88" s="75">
        <v>3</v>
      </c>
      <c r="K88" s="75">
        <f t="shared" si="7"/>
        <v>1</v>
      </c>
      <c r="L88" s="33">
        <v>0</v>
      </c>
      <c r="M88" s="33">
        <v>0</v>
      </c>
      <c r="N88" s="33">
        <v>0</v>
      </c>
      <c r="O88" s="33">
        <v>0</v>
      </c>
      <c r="P88" s="33">
        <v>0</v>
      </c>
      <c r="Q88" s="33">
        <v>0</v>
      </c>
      <c r="R88" s="33">
        <v>0</v>
      </c>
      <c r="S88" s="33">
        <v>0</v>
      </c>
      <c r="T88" s="33">
        <v>0</v>
      </c>
      <c r="U88" s="33">
        <v>0</v>
      </c>
      <c r="V88" s="33">
        <v>0</v>
      </c>
      <c r="W88" s="33">
        <v>0</v>
      </c>
      <c r="X88" s="33">
        <v>0</v>
      </c>
      <c r="Y88" s="33">
        <v>0</v>
      </c>
      <c r="Z88" s="33">
        <v>0</v>
      </c>
      <c r="AA88" s="33">
        <v>0</v>
      </c>
      <c r="AB88" s="33">
        <v>2</v>
      </c>
      <c r="AC88" s="33">
        <v>0</v>
      </c>
      <c r="AD88" s="33">
        <v>0</v>
      </c>
      <c r="AE88" s="33">
        <v>0</v>
      </c>
      <c r="AF88" s="33">
        <v>0</v>
      </c>
    </row>
    <row r="89" spans="2:32" ht="13.5" customHeight="1" x14ac:dyDescent="0.3">
      <c r="B89" s="178" t="s">
        <v>579</v>
      </c>
      <c r="C89" s="176" t="s">
        <v>78</v>
      </c>
      <c r="D89" s="173" t="s">
        <v>637</v>
      </c>
      <c r="E89" s="182" t="s">
        <v>154</v>
      </c>
      <c r="F89" s="72" t="s">
        <v>137</v>
      </c>
      <c r="G89" s="72">
        <v>2</v>
      </c>
      <c r="H89" s="75">
        <v>2</v>
      </c>
      <c r="I89" s="75">
        <f t="shared" si="6"/>
        <v>0</v>
      </c>
      <c r="J89" s="75">
        <v>2</v>
      </c>
      <c r="K89" s="75">
        <f t="shared" si="7"/>
        <v>0</v>
      </c>
      <c r="L89" s="33">
        <v>0</v>
      </c>
      <c r="M89" s="33">
        <v>0</v>
      </c>
      <c r="N89" s="33">
        <v>0</v>
      </c>
      <c r="O89" s="33">
        <v>0</v>
      </c>
      <c r="P89" s="33">
        <v>0</v>
      </c>
      <c r="Q89" s="33">
        <v>0</v>
      </c>
      <c r="R89" s="33">
        <v>0</v>
      </c>
      <c r="S89" s="33">
        <v>0</v>
      </c>
      <c r="T89" s="33">
        <v>0</v>
      </c>
      <c r="U89" s="33">
        <v>0</v>
      </c>
      <c r="V89" s="33">
        <v>0</v>
      </c>
      <c r="W89" s="33">
        <v>0</v>
      </c>
      <c r="X89" s="33">
        <v>0</v>
      </c>
      <c r="Y89" s="33">
        <v>0</v>
      </c>
      <c r="Z89" s="33">
        <v>0</v>
      </c>
      <c r="AA89" s="33">
        <v>0</v>
      </c>
      <c r="AB89" s="33">
        <v>0</v>
      </c>
      <c r="AC89" s="33">
        <v>1</v>
      </c>
      <c r="AD89" s="33">
        <v>1</v>
      </c>
      <c r="AE89" s="33">
        <v>0</v>
      </c>
      <c r="AF89" s="33">
        <v>0</v>
      </c>
    </row>
    <row r="90" spans="2:32" ht="13.5" customHeight="1" x14ac:dyDescent="0.3">
      <c r="B90" s="178" t="s">
        <v>580</v>
      </c>
      <c r="C90" s="176" t="s">
        <v>79</v>
      </c>
      <c r="D90" s="174" t="s">
        <v>638</v>
      </c>
      <c r="E90" s="182" t="s">
        <v>154</v>
      </c>
      <c r="F90" s="72" t="s">
        <v>137</v>
      </c>
      <c r="G90" s="72">
        <v>2</v>
      </c>
      <c r="H90" s="75">
        <v>2</v>
      </c>
      <c r="I90" s="75">
        <f t="shared" si="6"/>
        <v>0</v>
      </c>
      <c r="J90" s="75">
        <v>3</v>
      </c>
      <c r="K90" s="75">
        <f t="shared" si="7"/>
        <v>1</v>
      </c>
      <c r="L90" s="33">
        <v>0</v>
      </c>
      <c r="M90" s="33">
        <v>0</v>
      </c>
      <c r="N90" s="33">
        <v>0</v>
      </c>
      <c r="O90" s="33">
        <v>0</v>
      </c>
      <c r="P90" s="33">
        <v>0</v>
      </c>
      <c r="Q90" s="33">
        <v>0</v>
      </c>
      <c r="R90" s="33">
        <v>0</v>
      </c>
      <c r="S90" s="33">
        <v>0</v>
      </c>
      <c r="T90" s="33">
        <v>0</v>
      </c>
      <c r="U90" s="33">
        <v>0</v>
      </c>
      <c r="V90" s="33">
        <v>0</v>
      </c>
      <c r="W90" s="33">
        <v>0</v>
      </c>
      <c r="X90" s="33">
        <v>0</v>
      </c>
      <c r="Y90" s="33">
        <v>0</v>
      </c>
      <c r="Z90" s="33">
        <v>1</v>
      </c>
      <c r="AA90" s="33">
        <v>1</v>
      </c>
      <c r="AB90" s="33">
        <v>0</v>
      </c>
      <c r="AC90" s="33">
        <v>0</v>
      </c>
      <c r="AD90" s="33">
        <v>0</v>
      </c>
      <c r="AE90" s="33">
        <v>0</v>
      </c>
      <c r="AF90" s="33">
        <v>0</v>
      </c>
    </row>
    <row r="91" spans="2:32" ht="13.5" customHeight="1" x14ac:dyDescent="0.3">
      <c r="B91" s="178" t="s">
        <v>581</v>
      </c>
      <c r="C91" s="176" t="s">
        <v>83</v>
      </c>
      <c r="D91" s="174" t="s">
        <v>639</v>
      </c>
      <c r="E91" s="182" t="s">
        <v>154</v>
      </c>
      <c r="F91" s="72" t="s">
        <v>137</v>
      </c>
      <c r="G91" s="72">
        <v>2</v>
      </c>
      <c r="H91" s="75">
        <v>2</v>
      </c>
      <c r="I91" s="75">
        <f t="shared" si="6"/>
        <v>0</v>
      </c>
      <c r="J91" s="75">
        <v>3</v>
      </c>
      <c r="K91" s="75">
        <f t="shared" si="7"/>
        <v>1</v>
      </c>
      <c r="L91" s="33">
        <v>0</v>
      </c>
      <c r="M91" s="33">
        <v>0</v>
      </c>
      <c r="N91" s="33">
        <v>0</v>
      </c>
      <c r="O91" s="33">
        <v>0</v>
      </c>
      <c r="P91" s="33">
        <v>0</v>
      </c>
      <c r="Q91" s="33">
        <v>0</v>
      </c>
      <c r="R91" s="33">
        <v>0</v>
      </c>
      <c r="S91" s="33">
        <v>0</v>
      </c>
      <c r="T91" s="33">
        <v>0</v>
      </c>
      <c r="U91" s="33">
        <v>0</v>
      </c>
      <c r="V91" s="33">
        <v>0</v>
      </c>
      <c r="W91" s="33">
        <v>0</v>
      </c>
      <c r="X91" s="33">
        <v>0</v>
      </c>
      <c r="Y91" s="33">
        <v>0</v>
      </c>
      <c r="Z91" s="33">
        <v>0</v>
      </c>
      <c r="AA91" s="33">
        <v>0</v>
      </c>
      <c r="AB91" s="33">
        <v>0</v>
      </c>
      <c r="AC91" s="33">
        <v>1</v>
      </c>
      <c r="AD91" s="33">
        <v>1</v>
      </c>
      <c r="AE91" s="33">
        <v>0</v>
      </c>
      <c r="AF91" s="33">
        <v>0</v>
      </c>
    </row>
    <row r="92" spans="2:32" ht="13.5" customHeight="1" x14ac:dyDescent="0.3">
      <c r="B92" s="178" t="s">
        <v>582</v>
      </c>
      <c r="C92" s="176" t="s">
        <v>87</v>
      </c>
      <c r="D92" s="174" t="s">
        <v>639</v>
      </c>
      <c r="E92" s="182" t="s">
        <v>154</v>
      </c>
      <c r="F92" s="72" t="s">
        <v>137</v>
      </c>
      <c r="G92" s="72">
        <v>3</v>
      </c>
      <c r="H92" s="75">
        <v>3</v>
      </c>
      <c r="I92" s="75">
        <f t="shared" si="6"/>
        <v>0</v>
      </c>
      <c r="J92" s="75">
        <v>3</v>
      </c>
      <c r="K92" s="75">
        <f t="shared" si="7"/>
        <v>0</v>
      </c>
      <c r="L92" s="33">
        <v>0</v>
      </c>
      <c r="M92" s="33">
        <v>0</v>
      </c>
      <c r="N92" s="33">
        <v>0</v>
      </c>
      <c r="O92" s="33">
        <v>0</v>
      </c>
      <c r="P92" s="33">
        <v>0</v>
      </c>
      <c r="Q92" s="33">
        <v>0</v>
      </c>
      <c r="R92" s="33">
        <v>0</v>
      </c>
      <c r="S92" s="33">
        <v>0</v>
      </c>
      <c r="T92" s="33">
        <v>0</v>
      </c>
      <c r="U92" s="33">
        <v>0</v>
      </c>
      <c r="V92" s="33">
        <v>0</v>
      </c>
      <c r="W92" s="33">
        <v>0</v>
      </c>
      <c r="X92" s="33">
        <v>0</v>
      </c>
      <c r="Y92" s="33">
        <v>0</v>
      </c>
      <c r="Z92" s="33">
        <v>0</v>
      </c>
      <c r="AA92" s="33">
        <v>1</v>
      </c>
      <c r="AB92" s="33">
        <v>1</v>
      </c>
      <c r="AC92" s="33">
        <v>1</v>
      </c>
      <c r="AD92" s="33">
        <v>0</v>
      </c>
      <c r="AE92" s="33">
        <v>0</v>
      </c>
      <c r="AF92" s="33">
        <v>0</v>
      </c>
    </row>
    <row r="93" spans="2:32" ht="13.5" customHeight="1" x14ac:dyDescent="0.3">
      <c r="B93" s="178" t="s">
        <v>583</v>
      </c>
      <c r="C93" s="176" t="s">
        <v>88</v>
      </c>
      <c r="D93" s="173" t="s">
        <v>277</v>
      </c>
      <c r="E93" s="182" t="s">
        <v>143</v>
      </c>
      <c r="F93" s="72" t="s">
        <v>137</v>
      </c>
      <c r="G93" s="72">
        <v>2</v>
      </c>
      <c r="H93" s="75">
        <v>2</v>
      </c>
      <c r="I93" s="75">
        <f t="shared" si="6"/>
        <v>0</v>
      </c>
      <c r="J93" s="75">
        <v>2</v>
      </c>
      <c r="K93" s="75">
        <f t="shared" si="7"/>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v>0</v>
      </c>
      <c r="AD93" s="33">
        <v>1</v>
      </c>
      <c r="AE93" s="33">
        <v>1</v>
      </c>
      <c r="AF93" s="33">
        <v>0</v>
      </c>
    </row>
    <row r="94" spans="2:32" ht="13.5" customHeight="1" x14ac:dyDescent="0.3">
      <c r="B94" s="178" t="s">
        <v>584</v>
      </c>
      <c r="C94" s="176" t="s">
        <v>90</v>
      </c>
      <c r="D94" s="174" t="s">
        <v>279</v>
      </c>
      <c r="E94" s="182" t="s">
        <v>143</v>
      </c>
      <c r="F94" s="72" t="s">
        <v>137</v>
      </c>
      <c r="G94" s="72">
        <v>3</v>
      </c>
      <c r="H94" s="75">
        <v>3</v>
      </c>
      <c r="I94" s="75">
        <f t="shared" si="6"/>
        <v>0</v>
      </c>
      <c r="J94" s="75">
        <v>3</v>
      </c>
      <c r="K94" s="75">
        <f t="shared" si="7"/>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v>0</v>
      </c>
      <c r="AD94" s="33">
        <v>1</v>
      </c>
      <c r="AE94" s="33">
        <v>2</v>
      </c>
      <c r="AF94" s="33">
        <v>0</v>
      </c>
    </row>
    <row r="95" spans="2:32" ht="12" customHeight="1" x14ac:dyDescent="0.3">
      <c r="B95" s="178" t="s">
        <v>585</v>
      </c>
      <c r="C95" s="176" t="s">
        <v>93</v>
      </c>
      <c r="D95" s="174" t="s">
        <v>640</v>
      </c>
      <c r="E95" s="182" t="s">
        <v>143</v>
      </c>
      <c r="F95" s="72" t="s">
        <v>137</v>
      </c>
      <c r="G95" s="72">
        <v>2</v>
      </c>
      <c r="H95" s="75">
        <v>2</v>
      </c>
      <c r="I95" s="75">
        <f t="shared" si="6"/>
        <v>0</v>
      </c>
      <c r="J95" s="75">
        <v>2</v>
      </c>
      <c r="K95" s="75">
        <f t="shared" si="7"/>
        <v>0</v>
      </c>
      <c r="L95" s="33">
        <v>0</v>
      </c>
      <c r="M95" s="33">
        <v>0</v>
      </c>
      <c r="N95" s="33">
        <v>0</v>
      </c>
      <c r="O95" s="33">
        <v>0</v>
      </c>
      <c r="P95" s="33">
        <v>0</v>
      </c>
      <c r="Q95" s="33">
        <v>0</v>
      </c>
      <c r="R95" s="33">
        <v>0</v>
      </c>
      <c r="S95" s="33">
        <v>0</v>
      </c>
      <c r="T95" s="33">
        <v>0</v>
      </c>
      <c r="U95" s="33">
        <v>0</v>
      </c>
      <c r="V95" s="33">
        <v>0</v>
      </c>
      <c r="W95" s="33">
        <v>0</v>
      </c>
      <c r="X95" s="33">
        <v>0</v>
      </c>
      <c r="Y95" s="33">
        <v>0</v>
      </c>
      <c r="Z95" s="33">
        <v>0</v>
      </c>
      <c r="AA95" s="33">
        <v>0</v>
      </c>
      <c r="AB95" s="33">
        <v>0</v>
      </c>
      <c r="AC95" s="33">
        <v>0</v>
      </c>
      <c r="AD95" s="33">
        <v>0</v>
      </c>
      <c r="AE95" s="33">
        <v>2</v>
      </c>
      <c r="AF95" s="33">
        <v>0</v>
      </c>
    </row>
    <row r="96" spans="2:32" ht="13.5" customHeight="1" x14ac:dyDescent="0.3">
      <c r="B96" s="178" t="s">
        <v>586</v>
      </c>
      <c r="C96" s="176" t="s">
        <v>94</v>
      </c>
      <c r="D96" s="174" t="s">
        <v>641</v>
      </c>
      <c r="E96" s="182" t="s">
        <v>143</v>
      </c>
      <c r="F96" s="72" t="s">
        <v>137</v>
      </c>
      <c r="G96" s="72">
        <v>2</v>
      </c>
      <c r="H96" s="75">
        <v>2</v>
      </c>
      <c r="I96" s="75">
        <f t="shared" si="6"/>
        <v>0</v>
      </c>
      <c r="J96" s="75">
        <v>3</v>
      </c>
      <c r="K96" s="75">
        <f t="shared" si="7"/>
        <v>1</v>
      </c>
      <c r="L96" s="33">
        <v>0</v>
      </c>
      <c r="M96" s="33">
        <v>0</v>
      </c>
      <c r="N96" s="33">
        <v>0</v>
      </c>
      <c r="O96" s="33">
        <v>0</v>
      </c>
      <c r="P96" s="33">
        <v>0</v>
      </c>
      <c r="Q96" s="33">
        <v>0</v>
      </c>
      <c r="R96" s="33">
        <v>0</v>
      </c>
      <c r="S96" s="33">
        <v>0</v>
      </c>
      <c r="T96" s="33">
        <v>0</v>
      </c>
      <c r="U96" s="33">
        <v>0</v>
      </c>
      <c r="V96" s="33">
        <v>0</v>
      </c>
      <c r="W96" s="33">
        <v>0</v>
      </c>
      <c r="X96" s="33">
        <v>0</v>
      </c>
      <c r="Y96" s="33">
        <v>0</v>
      </c>
      <c r="Z96" s="33">
        <v>0</v>
      </c>
      <c r="AA96" s="33">
        <v>0</v>
      </c>
      <c r="AB96" s="33">
        <v>0</v>
      </c>
      <c r="AC96" s="33">
        <v>0</v>
      </c>
      <c r="AD96" s="33">
        <v>0</v>
      </c>
      <c r="AE96" s="33">
        <v>2</v>
      </c>
      <c r="AF96" s="33">
        <v>0</v>
      </c>
    </row>
    <row r="97" spans="2:32" ht="13.5" customHeight="1" x14ac:dyDescent="0.3">
      <c r="B97" s="178" t="s">
        <v>597</v>
      </c>
      <c r="C97" s="176" t="s">
        <v>95</v>
      </c>
      <c r="D97" s="174" t="s">
        <v>642</v>
      </c>
      <c r="E97" s="182" t="s">
        <v>143</v>
      </c>
      <c r="F97" s="72" t="s">
        <v>137</v>
      </c>
      <c r="G97" s="72">
        <v>2</v>
      </c>
      <c r="H97" s="75">
        <v>2</v>
      </c>
      <c r="I97" s="75">
        <f t="shared" si="6"/>
        <v>0</v>
      </c>
      <c r="J97" s="75">
        <v>3</v>
      </c>
      <c r="K97" s="75">
        <f t="shared" si="7"/>
        <v>1</v>
      </c>
      <c r="L97" s="33">
        <v>0</v>
      </c>
      <c r="M97" s="33">
        <v>0</v>
      </c>
      <c r="N97" s="33">
        <v>0</v>
      </c>
      <c r="O97" s="33">
        <v>0</v>
      </c>
      <c r="P97" s="33">
        <v>0</v>
      </c>
      <c r="Q97" s="33">
        <v>0</v>
      </c>
      <c r="R97" s="33">
        <v>0</v>
      </c>
      <c r="S97" s="33">
        <v>0</v>
      </c>
      <c r="T97" s="33">
        <v>0</v>
      </c>
      <c r="U97" s="33">
        <v>0</v>
      </c>
      <c r="V97" s="33">
        <v>0</v>
      </c>
      <c r="W97" s="33">
        <v>0</v>
      </c>
      <c r="X97" s="33">
        <v>0</v>
      </c>
      <c r="Y97" s="33">
        <v>0</v>
      </c>
      <c r="Z97" s="33">
        <v>0</v>
      </c>
      <c r="AA97" s="33">
        <v>0</v>
      </c>
      <c r="AB97" s="33">
        <v>0</v>
      </c>
      <c r="AC97" s="33">
        <v>0</v>
      </c>
      <c r="AD97" s="33">
        <v>1</v>
      </c>
      <c r="AE97" s="33">
        <v>1</v>
      </c>
      <c r="AF97" s="33">
        <v>0</v>
      </c>
    </row>
    <row r="98" spans="2:32" ht="13.5" customHeight="1" x14ac:dyDescent="0.3">
      <c r="B98" s="178" t="s">
        <v>598</v>
      </c>
      <c r="C98" s="176" t="s">
        <v>96</v>
      </c>
      <c r="D98" s="174" t="s">
        <v>323</v>
      </c>
      <c r="E98" s="182" t="s">
        <v>143</v>
      </c>
      <c r="F98" s="72" t="s">
        <v>137</v>
      </c>
      <c r="G98" s="72">
        <v>2</v>
      </c>
      <c r="H98" s="75">
        <v>2</v>
      </c>
      <c r="I98" s="75">
        <f t="shared" si="6"/>
        <v>0</v>
      </c>
      <c r="J98" s="75">
        <v>3</v>
      </c>
      <c r="K98" s="75">
        <f t="shared" si="7"/>
        <v>1</v>
      </c>
      <c r="L98" s="33">
        <v>0</v>
      </c>
      <c r="M98" s="33">
        <v>0</v>
      </c>
      <c r="N98" s="33">
        <v>0</v>
      </c>
      <c r="O98" s="33">
        <v>0</v>
      </c>
      <c r="P98" s="33">
        <v>0</v>
      </c>
      <c r="Q98" s="33">
        <v>0</v>
      </c>
      <c r="R98" s="33">
        <v>0</v>
      </c>
      <c r="S98" s="33">
        <v>0</v>
      </c>
      <c r="T98" s="33">
        <v>0</v>
      </c>
      <c r="U98" s="33">
        <v>0</v>
      </c>
      <c r="V98" s="33">
        <v>0</v>
      </c>
      <c r="W98" s="33">
        <v>0</v>
      </c>
      <c r="X98" s="33">
        <v>0</v>
      </c>
      <c r="Y98" s="33">
        <v>0</v>
      </c>
      <c r="Z98" s="33">
        <v>0</v>
      </c>
      <c r="AA98" s="33">
        <v>0</v>
      </c>
      <c r="AB98" s="33">
        <v>0</v>
      </c>
      <c r="AC98" s="33">
        <v>0</v>
      </c>
      <c r="AD98" s="33">
        <v>1</v>
      </c>
      <c r="AE98" s="33">
        <v>1</v>
      </c>
      <c r="AF98" s="33">
        <v>0</v>
      </c>
    </row>
    <row r="99" spans="2:32" ht="13.5" customHeight="1" x14ac:dyDescent="0.3">
      <c r="B99" s="178" t="s">
        <v>599</v>
      </c>
      <c r="C99" s="176" t="s">
        <v>97</v>
      </c>
      <c r="D99" s="174" t="s">
        <v>643</v>
      </c>
      <c r="E99" s="182" t="s">
        <v>143</v>
      </c>
      <c r="F99" s="72" t="s">
        <v>137</v>
      </c>
      <c r="G99" s="72"/>
      <c r="H99" s="75"/>
      <c r="I99" s="75"/>
      <c r="J99" s="75"/>
      <c r="K99" s="75"/>
      <c r="L99" s="33"/>
      <c r="M99" s="33"/>
      <c r="N99" s="33"/>
      <c r="O99" s="33"/>
      <c r="P99" s="33"/>
      <c r="Q99" s="33"/>
      <c r="R99" s="33"/>
      <c r="S99" s="33"/>
      <c r="T99" s="33"/>
      <c r="U99" s="33"/>
      <c r="V99" s="33"/>
      <c r="W99" s="33"/>
      <c r="X99" s="33"/>
      <c r="Y99" s="33"/>
      <c r="Z99" s="33"/>
      <c r="AA99" s="33"/>
      <c r="AB99" s="33"/>
      <c r="AC99" s="33"/>
      <c r="AD99" s="33"/>
      <c r="AE99" s="33"/>
      <c r="AF99" s="33"/>
    </row>
    <row r="100" spans="2:32" ht="13.5" customHeight="1" x14ac:dyDescent="0.3">
      <c r="B100" s="178" t="s">
        <v>600</v>
      </c>
      <c r="C100" s="176" t="s">
        <v>100</v>
      </c>
      <c r="D100" s="174" t="s">
        <v>644</v>
      </c>
      <c r="E100" s="182" t="s">
        <v>146</v>
      </c>
      <c r="F100" s="72" t="s">
        <v>137</v>
      </c>
      <c r="G100" s="72"/>
      <c r="H100" s="75"/>
      <c r="I100" s="75"/>
      <c r="J100" s="75"/>
      <c r="K100" s="75"/>
      <c r="L100" s="33"/>
      <c r="M100" s="33"/>
      <c r="N100" s="33"/>
      <c r="O100" s="33"/>
      <c r="P100" s="33"/>
      <c r="Q100" s="33"/>
      <c r="R100" s="33"/>
      <c r="S100" s="33"/>
      <c r="T100" s="33"/>
      <c r="U100" s="33"/>
      <c r="V100" s="33"/>
      <c r="W100" s="33"/>
      <c r="X100" s="33"/>
      <c r="Y100" s="33"/>
      <c r="Z100" s="33"/>
      <c r="AA100" s="33"/>
      <c r="AB100" s="33"/>
      <c r="AC100" s="33"/>
      <c r="AD100" s="33"/>
      <c r="AE100" s="33"/>
      <c r="AF100" s="33"/>
    </row>
    <row r="101" spans="2:32" ht="13.5" customHeight="1" x14ac:dyDescent="0.3">
      <c r="B101" s="178" t="s">
        <v>601</v>
      </c>
      <c r="C101" s="176" t="s">
        <v>101</v>
      </c>
      <c r="D101" s="174" t="s">
        <v>645</v>
      </c>
      <c r="E101" s="182" t="s">
        <v>146</v>
      </c>
      <c r="F101" s="72" t="s">
        <v>137</v>
      </c>
      <c r="G101" s="72"/>
      <c r="H101" s="75"/>
      <c r="I101" s="75"/>
      <c r="J101" s="75"/>
      <c r="K101" s="75"/>
      <c r="L101" s="33"/>
      <c r="M101" s="33"/>
      <c r="N101" s="33"/>
      <c r="O101" s="33"/>
      <c r="P101" s="33"/>
      <c r="Q101" s="33"/>
      <c r="R101" s="33"/>
      <c r="S101" s="33"/>
      <c r="T101" s="33"/>
      <c r="U101" s="33"/>
      <c r="V101" s="33"/>
      <c r="W101" s="33"/>
      <c r="X101" s="33"/>
      <c r="Y101" s="33"/>
      <c r="Z101" s="33"/>
      <c r="AA101" s="33"/>
      <c r="AB101" s="33"/>
      <c r="AC101" s="33"/>
      <c r="AD101" s="33"/>
      <c r="AE101" s="33"/>
      <c r="AF101" s="33"/>
    </row>
    <row r="102" spans="2:32" ht="13.5" customHeight="1" x14ac:dyDescent="0.3">
      <c r="B102" s="178" t="s">
        <v>602</v>
      </c>
      <c r="C102" s="176" t="s">
        <v>390</v>
      </c>
      <c r="D102" s="174" t="s">
        <v>646</v>
      </c>
      <c r="E102" s="182" t="s">
        <v>151</v>
      </c>
      <c r="F102" s="72" t="s">
        <v>137</v>
      </c>
      <c r="G102" s="72"/>
      <c r="H102" s="75"/>
      <c r="I102" s="75"/>
      <c r="J102" s="75"/>
      <c r="K102" s="75"/>
      <c r="L102" s="33"/>
      <c r="M102" s="33"/>
      <c r="N102" s="33"/>
      <c r="O102" s="33"/>
      <c r="P102" s="33"/>
      <c r="Q102" s="33"/>
      <c r="R102" s="33"/>
      <c r="S102" s="33"/>
      <c r="T102" s="33"/>
      <c r="U102" s="33"/>
      <c r="V102" s="33"/>
      <c r="W102" s="33"/>
      <c r="X102" s="33"/>
      <c r="Y102" s="33"/>
      <c r="Z102" s="33"/>
      <c r="AA102" s="33"/>
      <c r="AB102" s="33"/>
      <c r="AC102" s="33"/>
      <c r="AD102" s="33"/>
      <c r="AE102" s="33"/>
      <c r="AF102" s="33"/>
    </row>
    <row r="103" spans="2:32" ht="13.5" customHeight="1" x14ac:dyDescent="0.3">
      <c r="B103" s="178" t="s">
        <v>627</v>
      </c>
      <c r="C103" s="176" t="s">
        <v>391</v>
      </c>
      <c r="D103" s="174" t="s">
        <v>647</v>
      </c>
      <c r="E103" s="182" t="s">
        <v>151</v>
      </c>
      <c r="F103" s="72" t="s">
        <v>137</v>
      </c>
      <c r="G103" s="72"/>
      <c r="H103" s="75"/>
      <c r="I103" s="75"/>
      <c r="J103" s="75"/>
      <c r="K103" s="75"/>
      <c r="L103" s="33"/>
      <c r="M103" s="33"/>
      <c r="N103" s="33"/>
      <c r="O103" s="33"/>
      <c r="P103" s="33"/>
      <c r="Q103" s="33"/>
      <c r="R103" s="33"/>
      <c r="S103" s="33"/>
      <c r="T103" s="33"/>
      <c r="U103" s="33"/>
      <c r="V103" s="33"/>
      <c r="W103" s="33"/>
      <c r="X103" s="33"/>
      <c r="Y103" s="33"/>
      <c r="Z103" s="33"/>
      <c r="AA103" s="33"/>
      <c r="AB103" s="33"/>
      <c r="AC103" s="33"/>
      <c r="AD103" s="33"/>
      <c r="AE103" s="33"/>
      <c r="AF103" s="33"/>
    </row>
    <row r="104" spans="2:32" ht="13.5" customHeight="1" x14ac:dyDescent="0.3">
      <c r="B104" s="178" t="s">
        <v>628</v>
      </c>
      <c r="C104" s="176" t="s">
        <v>392</v>
      </c>
      <c r="D104" s="179" t="s">
        <v>281</v>
      </c>
      <c r="E104" s="182" t="s">
        <v>136</v>
      </c>
      <c r="F104" s="72" t="s">
        <v>137</v>
      </c>
      <c r="G104" s="72"/>
      <c r="H104" s="75"/>
      <c r="I104" s="75"/>
      <c r="J104" s="75"/>
      <c r="K104" s="75"/>
      <c r="L104" s="33"/>
      <c r="M104" s="33"/>
      <c r="N104" s="33"/>
      <c r="O104" s="33"/>
      <c r="P104" s="33"/>
      <c r="Q104" s="33"/>
      <c r="R104" s="33"/>
      <c r="S104" s="33"/>
      <c r="T104" s="33"/>
      <c r="U104" s="33"/>
      <c r="V104" s="33"/>
      <c r="W104" s="33"/>
      <c r="X104" s="33"/>
      <c r="Y104" s="33"/>
      <c r="Z104" s="33"/>
      <c r="AA104" s="33"/>
      <c r="AB104" s="33"/>
      <c r="AC104" s="33"/>
      <c r="AD104" s="33"/>
      <c r="AE104" s="33"/>
      <c r="AF104" s="33"/>
    </row>
    <row r="105" spans="2:32" ht="13.5" customHeight="1" x14ac:dyDescent="0.3">
      <c r="B105" s="178" t="s">
        <v>629</v>
      </c>
      <c r="C105" s="176" t="s">
        <v>414</v>
      </c>
      <c r="D105" s="179" t="s">
        <v>283</v>
      </c>
      <c r="E105" s="182" t="s">
        <v>136</v>
      </c>
      <c r="F105" s="72" t="s">
        <v>137</v>
      </c>
      <c r="G105" s="72"/>
      <c r="H105" s="75"/>
      <c r="I105" s="75"/>
      <c r="J105" s="75"/>
      <c r="K105" s="75"/>
      <c r="L105" s="33"/>
      <c r="M105" s="33"/>
      <c r="N105" s="33"/>
      <c r="O105" s="33"/>
      <c r="P105" s="33"/>
      <c r="Q105" s="33"/>
      <c r="R105" s="33"/>
      <c r="S105" s="33"/>
      <c r="T105" s="33"/>
      <c r="U105" s="33"/>
      <c r="V105" s="33"/>
      <c r="W105" s="33"/>
      <c r="X105" s="33"/>
      <c r="Y105" s="33"/>
      <c r="Z105" s="33"/>
      <c r="AA105" s="33"/>
      <c r="AB105" s="33"/>
      <c r="AC105" s="33"/>
      <c r="AD105" s="33"/>
      <c r="AE105" s="33"/>
      <c r="AF105" s="33"/>
    </row>
    <row r="106" spans="2:32" ht="13.5" customHeight="1" x14ac:dyDescent="0.3">
      <c r="B106" s="178" t="s">
        <v>630</v>
      </c>
      <c r="C106" s="176" t="s">
        <v>415</v>
      </c>
      <c r="D106" s="179" t="s">
        <v>285</v>
      </c>
      <c r="E106" s="72" t="s">
        <v>136</v>
      </c>
      <c r="F106" s="72" t="s">
        <v>137</v>
      </c>
      <c r="G106" s="72">
        <v>2</v>
      </c>
      <c r="H106" s="75">
        <v>2</v>
      </c>
      <c r="I106" s="75">
        <f t="shared" si="6"/>
        <v>0</v>
      </c>
      <c r="J106" s="75">
        <v>2</v>
      </c>
      <c r="K106" s="75">
        <f t="shared" si="7"/>
        <v>0</v>
      </c>
      <c r="L106" s="33">
        <v>0</v>
      </c>
      <c r="M106" s="33">
        <v>0</v>
      </c>
      <c r="N106" s="33">
        <v>0</v>
      </c>
      <c r="O106" s="33">
        <v>0</v>
      </c>
      <c r="P106" s="33">
        <v>0</v>
      </c>
      <c r="Q106" s="33">
        <v>0</v>
      </c>
      <c r="R106" s="33">
        <v>0</v>
      </c>
      <c r="S106" s="33">
        <v>0</v>
      </c>
      <c r="T106" s="33">
        <v>0</v>
      </c>
      <c r="U106" s="33">
        <v>0</v>
      </c>
      <c r="V106" s="33">
        <v>0</v>
      </c>
      <c r="W106" s="33">
        <v>0</v>
      </c>
      <c r="X106" s="33">
        <v>0</v>
      </c>
      <c r="Y106" s="33">
        <v>0</v>
      </c>
      <c r="Z106" s="33">
        <v>0</v>
      </c>
      <c r="AA106" s="33">
        <v>0</v>
      </c>
      <c r="AB106" s="33">
        <v>0</v>
      </c>
      <c r="AC106" s="33">
        <v>2</v>
      </c>
      <c r="AD106" s="33">
        <v>0</v>
      </c>
      <c r="AE106" s="33">
        <v>0</v>
      </c>
      <c r="AF106" s="33">
        <v>0</v>
      </c>
    </row>
    <row r="107" spans="2:32" ht="13.5" customHeight="1" x14ac:dyDescent="0.3">
      <c r="B107" s="79"/>
      <c r="C107" s="85"/>
      <c r="D107" s="89"/>
      <c r="E107" s="90"/>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row>
    <row r="108" spans="2:32" ht="13.5" customHeight="1" x14ac:dyDescent="0.3">
      <c r="B108" s="178" t="s">
        <v>631</v>
      </c>
      <c r="C108" s="88"/>
      <c r="D108" s="91" t="s">
        <v>294</v>
      </c>
      <c r="E108" s="92" t="s">
        <v>140</v>
      </c>
      <c r="F108" s="72" t="s">
        <v>137</v>
      </c>
      <c r="G108" s="72">
        <v>5</v>
      </c>
      <c r="H108" s="75">
        <v>5</v>
      </c>
      <c r="I108" s="75">
        <f t="shared" ref="I108:I109" si="8">G108-H108</f>
        <v>0</v>
      </c>
      <c r="J108" s="75">
        <v>5</v>
      </c>
      <c r="K108" s="75">
        <f t="shared" ref="K108:K109" si="9">SUM(J108-G108)</f>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0</v>
      </c>
      <c r="AC108" s="33">
        <v>0</v>
      </c>
      <c r="AD108" s="33">
        <v>0</v>
      </c>
      <c r="AE108" s="33">
        <v>0</v>
      </c>
      <c r="AF108" s="33">
        <v>5</v>
      </c>
    </row>
    <row r="109" spans="2:32" ht="13.5" customHeight="1" x14ac:dyDescent="0.3">
      <c r="B109" s="178" t="s">
        <v>632</v>
      </c>
      <c r="C109" s="88"/>
      <c r="D109" s="93" t="s">
        <v>296</v>
      </c>
      <c r="E109" s="72" t="s">
        <v>140</v>
      </c>
      <c r="F109" s="72" t="s">
        <v>137</v>
      </c>
      <c r="G109" s="72">
        <v>5</v>
      </c>
      <c r="H109" s="75">
        <v>5</v>
      </c>
      <c r="I109" s="75">
        <f t="shared" si="8"/>
        <v>0</v>
      </c>
      <c r="J109" s="75">
        <v>5</v>
      </c>
      <c r="K109" s="75">
        <f t="shared" si="9"/>
        <v>0</v>
      </c>
      <c r="L109" s="33">
        <v>0</v>
      </c>
      <c r="M109" s="33">
        <v>0</v>
      </c>
      <c r="N109" s="33">
        <v>0</v>
      </c>
      <c r="O109" s="33">
        <v>0</v>
      </c>
      <c r="P109" s="33">
        <v>0</v>
      </c>
      <c r="Q109" s="33">
        <v>0</v>
      </c>
      <c r="R109" s="33">
        <v>0</v>
      </c>
      <c r="S109" s="33">
        <v>0</v>
      </c>
      <c r="T109" s="33">
        <v>0</v>
      </c>
      <c r="U109" s="33">
        <v>0</v>
      </c>
      <c r="V109" s="33">
        <v>0</v>
      </c>
      <c r="W109" s="33">
        <v>0</v>
      </c>
      <c r="X109" s="33">
        <v>0</v>
      </c>
      <c r="Y109" s="33">
        <v>0</v>
      </c>
      <c r="Z109" s="33">
        <v>0</v>
      </c>
      <c r="AA109" s="33">
        <v>0</v>
      </c>
      <c r="AB109" s="33">
        <v>0</v>
      </c>
      <c r="AC109" s="33">
        <v>0</v>
      </c>
      <c r="AD109" s="33">
        <v>0</v>
      </c>
      <c r="AE109" s="33">
        <v>0</v>
      </c>
      <c r="AF109" s="33">
        <v>5</v>
      </c>
    </row>
    <row r="110" spans="2:32" ht="13.5" customHeight="1" x14ac:dyDescent="0.3">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row>
    <row r="111" spans="2:32" ht="13.5" customHeight="1" x14ac:dyDescent="0.3">
      <c r="B111" s="94"/>
      <c r="C111" s="94"/>
      <c r="D111" s="95"/>
      <c r="E111" s="94"/>
      <c r="F111" s="96"/>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row>
    <row r="112" spans="2:32" ht="13.5" customHeight="1" x14ac:dyDescent="0.3">
      <c r="B112" s="97"/>
      <c r="C112" s="97"/>
      <c r="D112" s="98"/>
      <c r="E112" s="97"/>
      <c r="F112" s="99" t="s">
        <v>233</v>
      </c>
      <c r="G112" s="100">
        <f>SUM(G8:G110)</f>
        <v>356</v>
      </c>
      <c r="H112" s="100">
        <f>SUM(H8:H110)</f>
        <v>369</v>
      </c>
      <c r="I112" s="100">
        <f>SUM(I8:I110)</f>
        <v>-13</v>
      </c>
      <c r="J112" s="100">
        <f>SUM(J8:J110)</f>
        <v>411</v>
      </c>
      <c r="K112" s="100">
        <f>SUM(K8:K110)</f>
        <v>55</v>
      </c>
      <c r="L112" s="100">
        <f t="shared" ref="L112:AF112" si="10">SUBTOTAL(9,L7:L109)</f>
        <v>4</v>
      </c>
      <c r="M112" s="100">
        <f t="shared" si="10"/>
        <v>7</v>
      </c>
      <c r="N112" s="100">
        <f t="shared" si="10"/>
        <v>11</v>
      </c>
      <c r="O112" s="100">
        <f t="shared" si="10"/>
        <v>10</v>
      </c>
      <c r="P112" s="100">
        <f t="shared" si="10"/>
        <v>8</v>
      </c>
      <c r="Q112" s="100">
        <f t="shared" si="10"/>
        <v>14</v>
      </c>
      <c r="R112" s="100">
        <f t="shared" si="10"/>
        <v>12</v>
      </c>
      <c r="S112" s="100">
        <f t="shared" si="10"/>
        <v>12</v>
      </c>
      <c r="T112" s="100">
        <f t="shared" si="10"/>
        <v>10</v>
      </c>
      <c r="U112" s="100">
        <f t="shared" si="10"/>
        <v>12</v>
      </c>
      <c r="V112" s="100">
        <f t="shared" si="10"/>
        <v>16</v>
      </c>
      <c r="W112" s="100">
        <f t="shared" si="10"/>
        <v>23</v>
      </c>
      <c r="X112" s="100">
        <f t="shared" si="10"/>
        <v>27</v>
      </c>
      <c r="Y112" s="100">
        <f t="shared" si="10"/>
        <v>31</v>
      </c>
      <c r="Z112" s="100">
        <f t="shared" si="10"/>
        <v>37</v>
      </c>
      <c r="AA112" s="100">
        <f t="shared" si="10"/>
        <v>33</v>
      </c>
      <c r="AB112" s="100">
        <f t="shared" si="10"/>
        <v>29</v>
      </c>
      <c r="AC112" s="100">
        <f t="shared" si="10"/>
        <v>28</v>
      </c>
      <c r="AD112" s="100">
        <f t="shared" si="10"/>
        <v>18</v>
      </c>
      <c r="AE112" s="100">
        <f t="shared" si="10"/>
        <v>9</v>
      </c>
      <c r="AF112" s="100">
        <f t="shared" si="10"/>
        <v>10</v>
      </c>
    </row>
    <row r="113" spans="2:33" ht="13.5" customHeight="1" x14ac:dyDescent="0.3">
      <c r="B113" s="97"/>
      <c r="C113" s="97"/>
      <c r="D113" s="98"/>
      <c r="E113" s="97"/>
      <c r="F113" s="99" t="s">
        <v>234</v>
      </c>
      <c r="G113" s="100"/>
      <c r="H113" s="100"/>
      <c r="I113" s="100"/>
      <c r="J113" s="100"/>
      <c r="K113" s="100"/>
      <c r="L113" s="100">
        <f>J112-L112</f>
        <v>407</v>
      </c>
      <c r="M113" s="100">
        <f t="shared" ref="M113:AF113" si="11">L113-M112</f>
        <v>400</v>
      </c>
      <c r="N113" s="100">
        <f t="shared" si="11"/>
        <v>389</v>
      </c>
      <c r="O113" s="100">
        <f t="shared" si="11"/>
        <v>379</v>
      </c>
      <c r="P113" s="100">
        <f t="shared" si="11"/>
        <v>371</v>
      </c>
      <c r="Q113" s="100">
        <f t="shared" si="11"/>
        <v>357</v>
      </c>
      <c r="R113" s="100">
        <f t="shared" si="11"/>
        <v>345</v>
      </c>
      <c r="S113" s="100">
        <f t="shared" si="11"/>
        <v>333</v>
      </c>
      <c r="T113" s="100">
        <f t="shared" si="11"/>
        <v>323</v>
      </c>
      <c r="U113" s="100">
        <f t="shared" si="11"/>
        <v>311</v>
      </c>
      <c r="V113" s="100">
        <f t="shared" si="11"/>
        <v>295</v>
      </c>
      <c r="W113" s="100">
        <f t="shared" si="11"/>
        <v>272</v>
      </c>
      <c r="X113" s="100">
        <f t="shared" si="11"/>
        <v>245</v>
      </c>
      <c r="Y113" s="100">
        <f t="shared" si="11"/>
        <v>214</v>
      </c>
      <c r="Z113" s="100">
        <f t="shared" si="11"/>
        <v>177</v>
      </c>
      <c r="AA113" s="100">
        <f t="shared" si="11"/>
        <v>144</v>
      </c>
      <c r="AB113" s="100">
        <f t="shared" si="11"/>
        <v>115</v>
      </c>
      <c r="AC113" s="100">
        <f t="shared" si="11"/>
        <v>87</v>
      </c>
      <c r="AD113" s="100">
        <f t="shared" si="11"/>
        <v>69</v>
      </c>
      <c r="AE113" s="100">
        <f t="shared" si="11"/>
        <v>60</v>
      </c>
      <c r="AF113" s="100">
        <f t="shared" si="11"/>
        <v>50</v>
      </c>
    </row>
    <row r="114" spans="2:33" ht="13.5" customHeight="1" x14ac:dyDescent="0.3">
      <c r="B114" s="97"/>
      <c r="C114" s="97"/>
      <c r="D114" s="98"/>
      <c r="E114" s="97"/>
      <c r="F114" s="99" t="s">
        <v>235</v>
      </c>
      <c r="G114" s="100"/>
      <c r="H114" s="100"/>
      <c r="I114" s="100"/>
      <c r="J114" s="100"/>
      <c r="K114" s="100"/>
      <c r="L114" s="100">
        <f>L112</f>
        <v>4</v>
      </c>
      <c r="M114" s="100">
        <f t="shared" ref="M114:AF114" si="12">L114+M112</f>
        <v>11</v>
      </c>
      <c r="N114" s="100">
        <f t="shared" si="12"/>
        <v>22</v>
      </c>
      <c r="O114" s="100">
        <f t="shared" si="12"/>
        <v>32</v>
      </c>
      <c r="P114" s="100">
        <f t="shared" si="12"/>
        <v>40</v>
      </c>
      <c r="Q114" s="100">
        <f t="shared" si="12"/>
        <v>54</v>
      </c>
      <c r="R114" s="100">
        <f t="shared" si="12"/>
        <v>66</v>
      </c>
      <c r="S114" s="100">
        <f t="shared" si="12"/>
        <v>78</v>
      </c>
      <c r="T114" s="100">
        <f t="shared" si="12"/>
        <v>88</v>
      </c>
      <c r="U114" s="100">
        <f t="shared" si="12"/>
        <v>100</v>
      </c>
      <c r="V114" s="100">
        <f t="shared" si="12"/>
        <v>116</v>
      </c>
      <c r="W114" s="100">
        <f t="shared" si="12"/>
        <v>139</v>
      </c>
      <c r="X114" s="100">
        <f t="shared" si="12"/>
        <v>166</v>
      </c>
      <c r="Y114" s="100">
        <f t="shared" si="12"/>
        <v>197</v>
      </c>
      <c r="Z114" s="100">
        <f t="shared" si="12"/>
        <v>234</v>
      </c>
      <c r="AA114" s="100">
        <f t="shared" si="12"/>
        <v>267</v>
      </c>
      <c r="AB114" s="100">
        <f t="shared" si="12"/>
        <v>296</v>
      </c>
      <c r="AC114" s="100">
        <f t="shared" si="12"/>
        <v>324</v>
      </c>
      <c r="AD114" s="100">
        <f t="shared" si="12"/>
        <v>342</v>
      </c>
      <c r="AE114" s="100">
        <f t="shared" si="12"/>
        <v>351</v>
      </c>
      <c r="AF114" s="100">
        <f t="shared" si="12"/>
        <v>361</v>
      </c>
    </row>
    <row r="115" spans="2:33" ht="13.5" customHeight="1" x14ac:dyDescent="0.3">
      <c r="B115" s="97"/>
      <c r="C115" s="101"/>
      <c r="D115" s="102"/>
      <c r="E115" s="97"/>
      <c r="F115" s="59" t="s">
        <v>236</v>
      </c>
      <c r="G115" s="59">
        <f>H112/21</f>
        <v>17.571428571428573</v>
      </c>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row>
    <row r="116" spans="2:33" ht="13.5" customHeight="1" x14ac:dyDescent="0.3">
      <c r="B116" s="14"/>
      <c r="C116" s="66"/>
      <c r="E116" s="14"/>
      <c r="F116" s="59" t="s">
        <v>237</v>
      </c>
      <c r="G116" s="59"/>
      <c r="H116" s="59"/>
      <c r="I116" s="59"/>
      <c r="J116" s="59"/>
      <c r="K116" s="59">
        <f>$J112</f>
        <v>411</v>
      </c>
      <c r="L116" s="61">
        <f>407-$G$115</f>
        <v>389.42857142857144</v>
      </c>
      <c r="M116" s="61">
        <f t="shared" ref="M116:AF116" si="13">L116-$G$115</f>
        <v>371.85714285714289</v>
      </c>
      <c r="N116" s="61">
        <f t="shared" si="13"/>
        <v>354.28571428571433</v>
      </c>
      <c r="O116" s="61">
        <f t="shared" si="13"/>
        <v>336.71428571428578</v>
      </c>
      <c r="P116" s="61">
        <f t="shared" si="13"/>
        <v>319.14285714285722</v>
      </c>
      <c r="Q116" s="61">
        <f t="shared" si="13"/>
        <v>301.57142857142867</v>
      </c>
      <c r="R116" s="61">
        <f t="shared" si="13"/>
        <v>284.00000000000011</v>
      </c>
      <c r="S116" s="61">
        <f t="shared" si="13"/>
        <v>266.42857142857156</v>
      </c>
      <c r="T116" s="61">
        <f t="shared" si="13"/>
        <v>248.85714285714297</v>
      </c>
      <c r="U116" s="61">
        <f t="shared" si="13"/>
        <v>231.28571428571439</v>
      </c>
      <c r="V116" s="61">
        <f t="shared" si="13"/>
        <v>213.71428571428581</v>
      </c>
      <c r="W116" s="61">
        <f t="shared" si="13"/>
        <v>196.14285714285722</v>
      </c>
      <c r="X116" s="61">
        <f t="shared" si="13"/>
        <v>178.57142857142864</v>
      </c>
      <c r="Y116" s="61">
        <f t="shared" si="13"/>
        <v>161.00000000000006</v>
      </c>
      <c r="Z116" s="61">
        <f t="shared" si="13"/>
        <v>143.42857142857147</v>
      </c>
      <c r="AA116" s="61">
        <f t="shared" si="13"/>
        <v>125.8571428571429</v>
      </c>
      <c r="AB116" s="61">
        <f t="shared" si="13"/>
        <v>108.28571428571433</v>
      </c>
      <c r="AC116" s="61">
        <f t="shared" si="13"/>
        <v>90.714285714285765</v>
      </c>
      <c r="AD116" s="61">
        <f t="shared" si="13"/>
        <v>73.142857142857196</v>
      </c>
      <c r="AE116" s="61">
        <f t="shared" si="13"/>
        <v>55.571428571428626</v>
      </c>
      <c r="AF116" s="61">
        <f t="shared" si="13"/>
        <v>38.000000000000057</v>
      </c>
      <c r="AG116" s="61">
        <v>0</v>
      </c>
    </row>
    <row r="117" spans="2:33" ht="13.5" customHeight="1" x14ac:dyDescent="0.3">
      <c r="B117" s="14"/>
      <c r="C117" s="66"/>
      <c r="E117" s="14"/>
      <c r="F117" s="59" t="s">
        <v>238</v>
      </c>
      <c r="G117" s="59"/>
      <c r="H117" s="59"/>
      <c r="I117" s="59"/>
      <c r="J117" s="59"/>
      <c r="K117" s="59">
        <f>$J112</f>
        <v>411</v>
      </c>
      <c r="L117" s="61">
        <f>J112-L112</f>
        <v>407</v>
      </c>
      <c r="M117" s="61">
        <f t="shared" ref="M117:AF117" si="14">L117-M112</f>
        <v>400</v>
      </c>
      <c r="N117" s="61">
        <f t="shared" si="14"/>
        <v>389</v>
      </c>
      <c r="O117" s="61">
        <f t="shared" si="14"/>
        <v>379</v>
      </c>
      <c r="P117" s="61">
        <f t="shared" si="14"/>
        <v>371</v>
      </c>
      <c r="Q117" s="61">
        <f t="shared" si="14"/>
        <v>357</v>
      </c>
      <c r="R117" s="61">
        <f t="shared" si="14"/>
        <v>345</v>
      </c>
      <c r="S117" s="61">
        <f t="shared" si="14"/>
        <v>333</v>
      </c>
      <c r="T117" s="61">
        <f t="shared" si="14"/>
        <v>323</v>
      </c>
      <c r="U117" s="61">
        <f t="shared" si="14"/>
        <v>311</v>
      </c>
      <c r="V117" s="61">
        <f t="shared" si="14"/>
        <v>295</v>
      </c>
      <c r="W117" s="61">
        <f t="shared" si="14"/>
        <v>272</v>
      </c>
      <c r="X117" s="61">
        <f t="shared" si="14"/>
        <v>245</v>
      </c>
      <c r="Y117" s="61">
        <f t="shared" si="14"/>
        <v>214</v>
      </c>
      <c r="Z117" s="61">
        <f t="shared" si="14"/>
        <v>177</v>
      </c>
      <c r="AA117" s="61">
        <f t="shared" si="14"/>
        <v>144</v>
      </c>
      <c r="AB117" s="61">
        <f t="shared" si="14"/>
        <v>115</v>
      </c>
      <c r="AC117" s="61">
        <f t="shared" si="14"/>
        <v>87</v>
      </c>
      <c r="AD117" s="61">
        <f t="shared" si="14"/>
        <v>69</v>
      </c>
      <c r="AE117" s="61">
        <f t="shared" si="14"/>
        <v>60</v>
      </c>
      <c r="AF117" s="61">
        <f t="shared" si="14"/>
        <v>50</v>
      </c>
      <c r="AG117" s="61">
        <v>0</v>
      </c>
    </row>
    <row r="118" spans="2:33" ht="15.75" customHeight="1" x14ac:dyDescent="0.3">
      <c r="B118" s="14"/>
      <c r="C118" s="66"/>
      <c r="E118" s="14"/>
    </row>
    <row r="119" spans="2:33" ht="15.75" customHeight="1" x14ac:dyDescent="0.3">
      <c r="B119" s="14"/>
      <c r="C119" s="66"/>
      <c r="E119" s="14"/>
      <c r="K119" s="62" t="s">
        <v>146</v>
      </c>
      <c r="L119" s="59">
        <f t="shared" ref="L119:AE119" si="15">SUMIF($E8:$E109, "*"&amp;$K119&amp;"*",L8:L109)</f>
        <v>0</v>
      </c>
      <c r="M119" s="59">
        <f t="shared" si="15"/>
        <v>0</v>
      </c>
      <c r="N119" s="59">
        <f t="shared" si="15"/>
        <v>0</v>
      </c>
      <c r="O119" s="59">
        <f t="shared" si="15"/>
        <v>0</v>
      </c>
      <c r="P119" s="59">
        <f t="shared" si="15"/>
        <v>0</v>
      </c>
      <c r="Q119" s="59">
        <f t="shared" si="15"/>
        <v>0</v>
      </c>
      <c r="R119" s="59">
        <f t="shared" si="15"/>
        <v>0</v>
      </c>
      <c r="S119" s="59">
        <f t="shared" si="15"/>
        <v>0</v>
      </c>
      <c r="T119" s="59">
        <f t="shared" si="15"/>
        <v>0</v>
      </c>
      <c r="U119" s="59">
        <f t="shared" si="15"/>
        <v>0</v>
      </c>
      <c r="V119" s="59">
        <f t="shared" si="15"/>
        <v>0</v>
      </c>
      <c r="W119" s="59">
        <f t="shared" si="15"/>
        <v>0</v>
      </c>
      <c r="X119" s="59">
        <f t="shared" si="15"/>
        <v>0</v>
      </c>
      <c r="Y119" s="59">
        <f t="shared" si="15"/>
        <v>0</v>
      </c>
      <c r="Z119" s="59">
        <f t="shared" si="15"/>
        <v>0</v>
      </c>
      <c r="AA119" s="59">
        <f t="shared" si="15"/>
        <v>0</v>
      </c>
      <c r="AB119" s="59">
        <f t="shared" si="15"/>
        <v>0</v>
      </c>
      <c r="AC119" s="59">
        <f t="shared" si="15"/>
        <v>0</v>
      </c>
      <c r="AD119" s="59">
        <f t="shared" si="15"/>
        <v>0</v>
      </c>
      <c r="AE119" s="59">
        <f t="shared" si="15"/>
        <v>0</v>
      </c>
      <c r="AF119" s="59">
        <v>1</v>
      </c>
      <c r="AG119" s="59">
        <f>SUM(L119:AF119)</f>
        <v>1</v>
      </c>
    </row>
    <row r="120" spans="2:33" ht="15.75" customHeight="1" x14ac:dyDescent="0.3">
      <c r="B120" s="14"/>
      <c r="C120" s="66"/>
      <c r="E120" s="14"/>
      <c r="K120" s="63" t="s">
        <v>154</v>
      </c>
      <c r="L120" s="59">
        <f t="shared" ref="L120:AE120" si="16">SUMIF($E8:$E109, "*"&amp;$K120&amp;"*",L8:L109)</f>
        <v>0</v>
      </c>
      <c r="M120" s="59">
        <f t="shared" si="16"/>
        <v>1</v>
      </c>
      <c r="N120" s="59">
        <f t="shared" si="16"/>
        <v>1</v>
      </c>
      <c r="O120" s="59">
        <f t="shared" si="16"/>
        <v>1</v>
      </c>
      <c r="P120" s="59">
        <f t="shared" si="16"/>
        <v>2</v>
      </c>
      <c r="Q120" s="59">
        <f t="shared" si="16"/>
        <v>8</v>
      </c>
      <c r="R120" s="59">
        <f t="shared" si="16"/>
        <v>7</v>
      </c>
      <c r="S120" s="59">
        <f t="shared" si="16"/>
        <v>9</v>
      </c>
      <c r="T120" s="59">
        <f t="shared" si="16"/>
        <v>7</v>
      </c>
      <c r="U120" s="59">
        <f t="shared" si="16"/>
        <v>7</v>
      </c>
      <c r="V120" s="59">
        <f t="shared" si="16"/>
        <v>8</v>
      </c>
      <c r="W120" s="59">
        <f t="shared" si="16"/>
        <v>12</v>
      </c>
      <c r="X120" s="59">
        <f t="shared" si="16"/>
        <v>12</v>
      </c>
      <c r="Y120" s="59">
        <f t="shared" si="16"/>
        <v>14</v>
      </c>
      <c r="Z120" s="59">
        <f t="shared" si="16"/>
        <v>11</v>
      </c>
      <c r="AA120" s="59">
        <f t="shared" si="16"/>
        <v>10</v>
      </c>
      <c r="AB120" s="59">
        <f t="shared" si="16"/>
        <v>9</v>
      </c>
      <c r="AC120" s="59">
        <f t="shared" si="16"/>
        <v>4</v>
      </c>
      <c r="AD120" s="59">
        <f t="shared" si="16"/>
        <v>3</v>
      </c>
      <c r="AE120" s="59">
        <f t="shared" si="16"/>
        <v>0</v>
      </c>
      <c r="AF120" s="59">
        <v>1</v>
      </c>
      <c r="AG120" s="59">
        <f t="shared" ref="AG120:AG123" si="17">SUM(L120:AF120)</f>
        <v>127</v>
      </c>
    </row>
    <row r="121" spans="2:33" ht="15.75" customHeight="1" x14ac:dyDescent="0.3">
      <c r="B121" s="14"/>
      <c r="C121" s="66"/>
      <c r="E121" s="14"/>
      <c r="K121" s="64" t="s">
        <v>143</v>
      </c>
      <c r="L121" s="59">
        <f t="shared" ref="L121:AE121" si="18">SUMIF($E8:$E109, "*"&amp;$K121&amp;"*",L8:L109)</f>
        <v>0</v>
      </c>
      <c r="M121" s="59">
        <f t="shared" si="18"/>
        <v>0</v>
      </c>
      <c r="N121" s="59">
        <f t="shared" si="18"/>
        <v>1</v>
      </c>
      <c r="O121" s="59">
        <f t="shared" si="18"/>
        <v>1</v>
      </c>
      <c r="P121" s="59">
        <f t="shared" si="18"/>
        <v>1</v>
      </c>
      <c r="Q121" s="59">
        <f t="shared" si="18"/>
        <v>1</v>
      </c>
      <c r="R121" s="59">
        <f t="shared" si="18"/>
        <v>2</v>
      </c>
      <c r="S121" s="59">
        <f t="shared" si="18"/>
        <v>1</v>
      </c>
      <c r="T121" s="59">
        <f t="shared" si="18"/>
        <v>1</v>
      </c>
      <c r="U121" s="59">
        <f t="shared" si="18"/>
        <v>5</v>
      </c>
      <c r="V121" s="59">
        <f t="shared" si="18"/>
        <v>8</v>
      </c>
      <c r="W121" s="59">
        <f t="shared" si="18"/>
        <v>11</v>
      </c>
      <c r="X121" s="59">
        <f t="shared" si="18"/>
        <v>11</v>
      </c>
      <c r="Y121" s="59">
        <f t="shared" si="18"/>
        <v>10</v>
      </c>
      <c r="Z121" s="59">
        <f t="shared" si="18"/>
        <v>8</v>
      </c>
      <c r="AA121" s="59">
        <f t="shared" si="18"/>
        <v>8</v>
      </c>
      <c r="AB121" s="59">
        <f t="shared" si="18"/>
        <v>6</v>
      </c>
      <c r="AC121" s="59">
        <f t="shared" si="18"/>
        <v>6</v>
      </c>
      <c r="AD121" s="59">
        <f t="shared" si="18"/>
        <v>5</v>
      </c>
      <c r="AE121" s="59">
        <f t="shared" si="18"/>
        <v>9</v>
      </c>
      <c r="AF121" s="59">
        <v>1</v>
      </c>
      <c r="AG121" s="59">
        <f t="shared" si="17"/>
        <v>96</v>
      </c>
    </row>
    <row r="122" spans="2:33" ht="15.75" customHeight="1" x14ac:dyDescent="0.3">
      <c r="B122" s="14"/>
      <c r="C122" s="66"/>
      <c r="E122" s="14"/>
      <c r="K122" s="64" t="s">
        <v>136</v>
      </c>
      <c r="L122" s="59">
        <f t="shared" ref="L122:AE122" si="19">SUMIF($E8:$E109, "*"&amp;$K122&amp;"*",L8:L109)</f>
        <v>0</v>
      </c>
      <c r="M122" s="59">
        <f t="shared" si="19"/>
        <v>0</v>
      </c>
      <c r="N122" s="59">
        <f t="shared" si="19"/>
        <v>1</v>
      </c>
      <c r="O122" s="59">
        <f t="shared" si="19"/>
        <v>1</v>
      </c>
      <c r="P122" s="59">
        <f t="shared" si="19"/>
        <v>1</v>
      </c>
      <c r="Q122" s="59">
        <f t="shared" si="19"/>
        <v>1</v>
      </c>
      <c r="R122" s="59">
        <f t="shared" si="19"/>
        <v>1</v>
      </c>
      <c r="S122" s="59">
        <f t="shared" si="19"/>
        <v>0</v>
      </c>
      <c r="T122" s="59">
        <f t="shared" si="19"/>
        <v>0</v>
      </c>
      <c r="U122" s="59">
        <f t="shared" si="19"/>
        <v>0</v>
      </c>
      <c r="V122" s="59">
        <f t="shared" si="19"/>
        <v>0</v>
      </c>
      <c r="W122" s="59">
        <f t="shared" si="19"/>
        <v>0</v>
      </c>
      <c r="X122" s="59">
        <f t="shared" si="19"/>
        <v>4</v>
      </c>
      <c r="Y122" s="59">
        <f t="shared" si="19"/>
        <v>3</v>
      </c>
      <c r="Z122" s="59">
        <f t="shared" si="19"/>
        <v>8</v>
      </c>
      <c r="AA122" s="59">
        <f t="shared" si="19"/>
        <v>5</v>
      </c>
      <c r="AB122" s="59">
        <f t="shared" si="19"/>
        <v>4</v>
      </c>
      <c r="AC122" s="59">
        <f t="shared" si="19"/>
        <v>8</v>
      </c>
      <c r="AD122" s="59">
        <f t="shared" si="19"/>
        <v>3</v>
      </c>
      <c r="AE122" s="59">
        <f t="shared" si="19"/>
        <v>0</v>
      </c>
      <c r="AF122" s="59">
        <v>1</v>
      </c>
      <c r="AG122" s="59">
        <f t="shared" si="17"/>
        <v>41</v>
      </c>
    </row>
    <row r="123" spans="2:33" ht="15.75" customHeight="1" x14ac:dyDescent="0.3">
      <c r="B123" s="14"/>
      <c r="C123" s="66"/>
      <c r="E123" s="14"/>
      <c r="K123" s="63" t="s">
        <v>151</v>
      </c>
      <c r="L123" s="59">
        <f t="shared" ref="L123:AE123" si="20">SUMIF($E8:$E109, "*"&amp;$K123&amp;"*",L8:L109)</f>
        <v>0</v>
      </c>
      <c r="M123" s="59">
        <f t="shared" si="20"/>
        <v>0</v>
      </c>
      <c r="N123" s="59">
        <f t="shared" si="20"/>
        <v>6</v>
      </c>
      <c r="O123" s="59">
        <f t="shared" si="20"/>
        <v>6</v>
      </c>
      <c r="P123" s="59">
        <f t="shared" si="20"/>
        <v>4</v>
      </c>
      <c r="Q123" s="59">
        <f t="shared" si="20"/>
        <v>4</v>
      </c>
      <c r="R123" s="59">
        <f t="shared" si="20"/>
        <v>2</v>
      </c>
      <c r="S123" s="59">
        <f t="shared" si="20"/>
        <v>2</v>
      </c>
      <c r="T123" s="59">
        <f t="shared" si="20"/>
        <v>2</v>
      </c>
      <c r="U123" s="59">
        <f t="shared" si="20"/>
        <v>0</v>
      </c>
      <c r="V123" s="59">
        <f t="shared" si="20"/>
        <v>0</v>
      </c>
      <c r="W123" s="59">
        <f t="shared" si="20"/>
        <v>0</v>
      </c>
      <c r="X123" s="59">
        <f t="shared" si="20"/>
        <v>0</v>
      </c>
      <c r="Y123" s="59">
        <f t="shared" si="20"/>
        <v>4</v>
      </c>
      <c r="Z123" s="59">
        <f t="shared" si="20"/>
        <v>10</v>
      </c>
      <c r="AA123" s="59">
        <f t="shared" si="20"/>
        <v>10</v>
      </c>
      <c r="AB123" s="59">
        <f t="shared" si="20"/>
        <v>10</v>
      </c>
      <c r="AC123" s="59">
        <f t="shared" si="20"/>
        <v>10</v>
      </c>
      <c r="AD123" s="59">
        <f t="shared" si="20"/>
        <v>7</v>
      </c>
      <c r="AE123" s="59">
        <f t="shared" si="20"/>
        <v>0</v>
      </c>
      <c r="AF123" s="59">
        <v>1</v>
      </c>
      <c r="AG123" s="59">
        <f t="shared" si="17"/>
        <v>78</v>
      </c>
    </row>
    <row r="124" spans="2:33" ht="15.75" customHeight="1" x14ac:dyDescent="0.3">
      <c r="B124" s="14"/>
      <c r="C124" s="66"/>
      <c r="E124" s="14"/>
    </row>
    <row r="125" spans="2:33" ht="15.75" customHeight="1" x14ac:dyDescent="0.3">
      <c r="B125" s="14"/>
      <c r="C125" s="66"/>
      <c r="E125" s="14"/>
    </row>
    <row r="126" spans="2:33" ht="15.75" customHeight="1" x14ac:dyDescent="0.3">
      <c r="B126" s="14"/>
      <c r="C126" s="66"/>
      <c r="E126" s="14"/>
    </row>
    <row r="127" spans="2:33" ht="13.5" customHeight="1" x14ac:dyDescent="0.3">
      <c r="B127" s="14"/>
      <c r="C127" s="66"/>
      <c r="E127" s="14"/>
    </row>
    <row r="128" spans="2:33" ht="13.5" customHeight="1" x14ac:dyDescent="0.3">
      <c r="B128" s="14"/>
      <c r="C128" s="66"/>
      <c r="E128" s="14"/>
    </row>
    <row r="129" spans="2:5" ht="13.5" customHeight="1" x14ac:dyDescent="0.3">
      <c r="B129" s="14"/>
      <c r="C129" s="66"/>
      <c r="E129" s="14"/>
    </row>
    <row r="130" spans="2:5" ht="13.5" customHeight="1" x14ac:dyDescent="0.3">
      <c r="B130" s="14"/>
      <c r="C130" s="66"/>
      <c r="E130" s="14"/>
    </row>
    <row r="131" spans="2:5" ht="13.5" customHeight="1" x14ac:dyDescent="0.3">
      <c r="B131" s="14"/>
      <c r="C131" s="66"/>
      <c r="E131" s="14"/>
    </row>
    <row r="132" spans="2:5" ht="13.5" customHeight="1" x14ac:dyDescent="0.3">
      <c r="B132" s="14"/>
      <c r="C132" s="66"/>
      <c r="E132" s="14"/>
    </row>
    <row r="133" spans="2:5" ht="13.5" customHeight="1" x14ac:dyDescent="0.3">
      <c r="B133" s="14"/>
      <c r="C133" s="66"/>
      <c r="E133" s="14"/>
    </row>
    <row r="134" spans="2:5" ht="13.5" customHeight="1" x14ac:dyDescent="0.3">
      <c r="B134" s="14"/>
      <c r="C134" s="66"/>
      <c r="E134" s="14"/>
    </row>
    <row r="135" spans="2:5" ht="13.5" customHeight="1" x14ac:dyDescent="0.3">
      <c r="B135" s="14"/>
      <c r="C135" s="66"/>
      <c r="E135" s="14"/>
    </row>
    <row r="136" spans="2:5" ht="13.5" customHeight="1" x14ac:dyDescent="0.3">
      <c r="B136" s="14"/>
      <c r="C136" s="66"/>
      <c r="E136" s="14"/>
    </row>
    <row r="137" spans="2:5" ht="13.5" customHeight="1" x14ac:dyDescent="0.3">
      <c r="B137" s="14"/>
      <c r="C137" s="66"/>
      <c r="E137" s="14"/>
    </row>
    <row r="138" spans="2:5" ht="13.5" customHeight="1" x14ac:dyDescent="0.3">
      <c r="B138" s="14"/>
      <c r="C138" s="66"/>
      <c r="E138" s="14"/>
    </row>
    <row r="139" spans="2:5" ht="13.5" customHeight="1" x14ac:dyDescent="0.3">
      <c r="B139" s="14"/>
      <c r="C139" s="66"/>
      <c r="E139" s="14"/>
    </row>
    <row r="140" spans="2:5" ht="13.5" customHeight="1" x14ac:dyDescent="0.3">
      <c r="B140" s="14"/>
      <c r="C140" s="66"/>
      <c r="E140" s="14"/>
    </row>
    <row r="141" spans="2:5" ht="13.5" customHeight="1" x14ac:dyDescent="0.3">
      <c r="B141" s="14"/>
      <c r="C141" s="66"/>
      <c r="E141" s="14"/>
    </row>
    <row r="142" spans="2:5" ht="13.5" customHeight="1" x14ac:dyDescent="0.3">
      <c r="B142" s="14"/>
      <c r="C142" s="66"/>
      <c r="E142" s="14"/>
    </row>
    <row r="143" spans="2:5" ht="13.5" customHeight="1" x14ac:dyDescent="0.3">
      <c r="B143" s="14"/>
      <c r="C143" s="66"/>
      <c r="E143" s="14"/>
    </row>
    <row r="144" spans="2:5" ht="13.5" customHeight="1" x14ac:dyDescent="0.3">
      <c r="B144" s="14"/>
      <c r="C144" s="66"/>
      <c r="E144" s="14"/>
    </row>
    <row r="145" spans="2:5" ht="13.5" customHeight="1" x14ac:dyDescent="0.3">
      <c r="B145" s="14"/>
      <c r="C145" s="66"/>
      <c r="E145" s="14"/>
    </row>
    <row r="146" spans="2:5" ht="13.5" customHeight="1" x14ac:dyDescent="0.3">
      <c r="B146" s="14"/>
      <c r="C146" s="66"/>
      <c r="E146" s="14"/>
    </row>
    <row r="147" spans="2:5" ht="13.5" customHeight="1" x14ac:dyDescent="0.3">
      <c r="B147" s="14"/>
      <c r="C147" s="66"/>
      <c r="E147" s="14"/>
    </row>
    <row r="148" spans="2:5" ht="13.5" customHeight="1" x14ac:dyDescent="0.3">
      <c r="B148" s="14"/>
      <c r="C148" s="66"/>
      <c r="E148" s="14"/>
    </row>
    <row r="149" spans="2:5" ht="13.5" customHeight="1" x14ac:dyDescent="0.3">
      <c r="B149" s="14"/>
      <c r="C149" s="66"/>
      <c r="E149" s="14"/>
    </row>
    <row r="150" spans="2:5" ht="13.5" customHeight="1" x14ac:dyDescent="0.3">
      <c r="B150" s="14"/>
      <c r="C150" s="66"/>
      <c r="E150" s="14"/>
    </row>
    <row r="151" spans="2:5" ht="13.5" customHeight="1" x14ac:dyDescent="0.3">
      <c r="B151" s="14"/>
      <c r="C151" s="66"/>
      <c r="E151" s="14"/>
    </row>
    <row r="152" spans="2:5" ht="13.5" customHeight="1" x14ac:dyDescent="0.3">
      <c r="B152" s="14"/>
      <c r="C152" s="66"/>
      <c r="E152" s="14"/>
    </row>
    <row r="153" spans="2:5" ht="13.5" customHeight="1" x14ac:dyDescent="0.3">
      <c r="B153" s="14"/>
      <c r="C153" s="66"/>
      <c r="E153" s="14"/>
    </row>
    <row r="154" spans="2:5" ht="13.5" customHeight="1" x14ac:dyDescent="0.3">
      <c r="B154" s="14"/>
      <c r="C154" s="66"/>
      <c r="E154" s="14"/>
    </row>
    <row r="155" spans="2:5" ht="13.5" customHeight="1" x14ac:dyDescent="0.3">
      <c r="B155" s="14"/>
      <c r="C155" s="66"/>
      <c r="E155" s="14"/>
    </row>
    <row r="156" spans="2:5" ht="13.5" customHeight="1" x14ac:dyDescent="0.3">
      <c r="B156" s="14"/>
      <c r="C156" s="66"/>
      <c r="E156" s="14"/>
    </row>
    <row r="157" spans="2:5" ht="13.5" customHeight="1" x14ac:dyDescent="0.3">
      <c r="B157" s="14"/>
      <c r="C157" s="66"/>
      <c r="E157" s="14"/>
    </row>
    <row r="158" spans="2:5" ht="13.5" customHeight="1" x14ac:dyDescent="0.3">
      <c r="B158" s="14"/>
      <c r="C158" s="66"/>
      <c r="E158" s="14"/>
    </row>
    <row r="159" spans="2:5" ht="13.5" customHeight="1" x14ac:dyDescent="0.3">
      <c r="B159" s="14"/>
      <c r="C159" s="66"/>
      <c r="E159" s="14"/>
    </row>
    <row r="160" spans="2:5" ht="13.5" customHeight="1" x14ac:dyDescent="0.3">
      <c r="B160" s="14"/>
      <c r="C160" s="66"/>
      <c r="E160" s="14"/>
    </row>
    <row r="161" spans="2:5" ht="13.5" customHeight="1" x14ac:dyDescent="0.3">
      <c r="B161" s="14"/>
      <c r="C161" s="66"/>
      <c r="E161" s="14"/>
    </row>
    <row r="162" spans="2:5" ht="13.5" customHeight="1" x14ac:dyDescent="0.3">
      <c r="B162" s="14"/>
      <c r="C162" s="66"/>
      <c r="E162" s="14"/>
    </row>
    <row r="163" spans="2:5" ht="13.5" customHeight="1" x14ac:dyDescent="0.3">
      <c r="B163" s="14"/>
      <c r="C163" s="66"/>
      <c r="E163" s="14"/>
    </row>
    <row r="164" spans="2:5" ht="13.5" customHeight="1" x14ac:dyDescent="0.3">
      <c r="B164" s="14"/>
      <c r="C164" s="66"/>
      <c r="E164" s="14"/>
    </row>
    <row r="165" spans="2:5" ht="13.5" customHeight="1" x14ac:dyDescent="0.3">
      <c r="B165" s="14"/>
      <c r="C165" s="66"/>
      <c r="E165" s="14"/>
    </row>
    <row r="166" spans="2:5" ht="13.5" customHeight="1" x14ac:dyDescent="0.3">
      <c r="B166" s="14"/>
      <c r="C166" s="66"/>
      <c r="E166" s="14"/>
    </row>
    <row r="167" spans="2:5" ht="13.5" customHeight="1" x14ac:dyDescent="0.3">
      <c r="B167" s="14"/>
      <c r="C167" s="66"/>
      <c r="E167" s="14"/>
    </row>
    <row r="168" spans="2:5" ht="13.5" customHeight="1" x14ac:dyDescent="0.3">
      <c r="B168" s="14"/>
      <c r="C168" s="66"/>
      <c r="E168" s="14"/>
    </row>
    <row r="169" spans="2:5" ht="13.5" customHeight="1" x14ac:dyDescent="0.3">
      <c r="B169" s="14"/>
      <c r="C169" s="66"/>
      <c r="E169" s="14"/>
    </row>
    <row r="170" spans="2:5" ht="13.5" customHeight="1" x14ac:dyDescent="0.3">
      <c r="B170" s="14"/>
      <c r="C170" s="66"/>
      <c r="E170" s="14"/>
    </row>
    <row r="171" spans="2:5" ht="13.5" customHeight="1" x14ac:dyDescent="0.3">
      <c r="B171" s="14"/>
      <c r="C171" s="66"/>
      <c r="E171" s="14"/>
    </row>
    <row r="172" spans="2:5" ht="13.5" customHeight="1" x14ac:dyDescent="0.3">
      <c r="B172" s="14"/>
      <c r="C172" s="66"/>
      <c r="E172" s="14"/>
    </row>
    <row r="173" spans="2:5" ht="13.5" customHeight="1" x14ac:dyDescent="0.3">
      <c r="B173" s="14"/>
      <c r="C173" s="66"/>
      <c r="E173" s="14"/>
    </row>
    <row r="174" spans="2:5" ht="13.5" customHeight="1" x14ac:dyDescent="0.3">
      <c r="B174" s="14"/>
      <c r="C174" s="66"/>
      <c r="E174" s="14"/>
    </row>
    <row r="175" spans="2:5" ht="13.5" customHeight="1" x14ac:dyDescent="0.3">
      <c r="B175" s="14"/>
      <c r="C175" s="66"/>
      <c r="E175" s="14"/>
    </row>
    <row r="176" spans="2:5" ht="13.5" customHeight="1" x14ac:dyDescent="0.3">
      <c r="B176" s="14"/>
      <c r="C176" s="66"/>
      <c r="E176" s="14"/>
    </row>
    <row r="177" spans="2:5" ht="13.5" customHeight="1" x14ac:dyDescent="0.3">
      <c r="B177" s="14"/>
      <c r="C177" s="66"/>
      <c r="E177" s="14"/>
    </row>
    <row r="178" spans="2:5" ht="13.5" customHeight="1" x14ac:dyDescent="0.3">
      <c r="B178" s="14"/>
      <c r="C178" s="66"/>
      <c r="E178" s="14"/>
    </row>
    <row r="179" spans="2:5" ht="13.5" customHeight="1" x14ac:dyDescent="0.3">
      <c r="B179" s="14"/>
      <c r="C179" s="66"/>
      <c r="E179" s="14"/>
    </row>
    <row r="180" spans="2:5" ht="13.5" customHeight="1" x14ac:dyDescent="0.3">
      <c r="B180" s="14"/>
      <c r="C180" s="66"/>
      <c r="E180" s="14"/>
    </row>
    <row r="181" spans="2:5" ht="13.5" customHeight="1" x14ac:dyDescent="0.3">
      <c r="B181" s="14"/>
      <c r="C181" s="66"/>
      <c r="E181" s="14"/>
    </row>
    <row r="182" spans="2:5" ht="13.5" customHeight="1" x14ac:dyDescent="0.3">
      <c r="B182" s="14"/>
      <c r="C182" s="66"/>
      <c r="E182" s="14"/>
    </row>
    <row r="183" spans="2:5" ht="13.5" customHeight="1" x14ac:dyDescent="0.3">
      <c r="B183" s="14"/>
      <c r="C183" s="66"/>
      <c r="E183" s="14"/>
    </row>
    <row r="184" spans="2:5" ht="13.5" customHeight="1" x14ac:dyDescent="0.3">
      <c r="B184" s="14"/>
      <c r="C184" s="66"/>
      <c r="E184" s="14"/>
    </row>
    <row r="185" spans="2:5" ht="13.5" customHeight="1" x14ac:dyDescent="0.3">
      <c r="B185" s="14"/>
      <c r="C185" s="66"/>
      <c r="E185" s="14"/>
    </row>
    <row r="186" spans="2:5" ht="13.5" customHeight="1" x14ac:dyDescent="0.3">
      <c r="B186" s="14"/>
      <c r="C186" s="66"/>
      <c r="E186" s="14"/>
    </row>
    <row r="187" spans="2:5" ht="13.5" customHeight="1" x14ac:dyDescent="0.3">
      <c r="B187" s="14"/>
      <c r="C187" s="66"/>
      <c r="E187" s="14"/>
    </row>
    <row r="188" spans="2:5" ht="13.5" customHeight="1" x14ac:dyDescent="0.3">
      <c r="B188" s="14"/>
      <c r="C188" s="66"/>
      <c r="E188" s="14"/>
    </row>
    <row r="189" spans="2:5" ht="13.5" customHeight="1" x14ac:dyDescent="0.3">
      <c r="B189" s="14"/>
      <c r="C189" s="66"/>
      <c r="E189" s="14"/>
    </row>
    <row r="190" spans="2:5" ht="13.5" customHeight="1" x14ac:dyDescent="0.3">
      <c r="B190" s="14"/>
      <c r="C190" s="66"/>
      <c r="E190" s="14"/>
    </row>
    <row r="191" spans="2:5" ht="13.5" customHeight="1" x14ac:dyDescent="0.3">
      <c r="B191" s="14"/>
      <c r="C191" s="66"/>
      <c r="E191" s="14"/>
    </row>
    <row r="192" spans="2:5" ht="13.5" customHeight="1" x14ac:dyDescent="0.3">
      <c r="B192" s="14"/>
      <c r="C192" s="66"/>
      <c r="E192" s="14"/>
    </row>
    <row r="193" spans="2:5" ht="13.5" customHeight="1" x14ac:dyDescent="0.3">
      <c r="B193" s="14"/>
      <c r="C193" s="66"/>
      <c r="E193" s="14"/>
    </row>
    <row r="194" spans="2:5" ht="13.5" customHeight="1" x14ac:dyDescent="0.3">
      <c r="B194" s="14"/>
      <c r="C194" s="66"/>
      <c r="E194" s="14"/>
    </row>
    <row r="195" spans="2:5" ht="13.5" customHeight="1" x14ac:dyDescent="0.3">
      <c r="B195" s="14"/>
      <c r="C195" s="66"/>
      <c r="E195" s="14"/>
    </row>
    <row r="196" spans="2:5" ht="13.5" customHeight="1" x14ac:dyDescent="0.3">
      <c r="B196" s="14"/>
      <c r="C196" s="66"/>
      <c r="E196" s="14"/>
    </row>
    <row r="197" spans="2:5" ht="13.5" customHeight="1" x14ac:dyDescent="0.3">
      <c r="B197" s="14"/>
      <c r="C197" s="66"/>
      <c r="E197" s="14"/>
    </row>
    <row r="198" spans="2:5" ht="13.5" customHeight="1" x14ac:dyDescent="0.3">
      <c r="B198" s="14"/>
      <c r="C198" s="66"/>
      <c r="E198" s="14"/>
    </row>
    <row r="199" spans="2:5" ht="13.5" customHeight="1" x14ac:dyDescent="0.3">
      <c r="B199" s="14"/>
      <c r="C199" s="66"/>
      <c r="E199" s="14"/>
    </row>
    <row r="200" spans="2:5" ht="13.5" customHeight="1" x14ac:dyDescent="0.3">
      <c r="B200" s="14"/>
      <c r="C200" s="66"/>
      <c r="E200" s="14"/>
    </row>
    <row r="201" spans="2:5" ht="13.5" customHeight="1" x14ac:dyDescent="0.3">
      <c r="B201" s="14"/>
      <c r="C201" s="66"/>
      <c r="E201" s="14"/>
    </row>
    <row r="202" spans="2:5" ht="13.5" customHeight="1" x14ac:dyDescent="0.3">
      <c r="B202" s="14"/>
      <c r="C202" s="66"/>
      <c r="E202" s="14"/>
    </row>
    <row r="203" spans="2:5" ht="13.5" customHeight="1" x14ac:dyDescent="0.3">
      <c r="B203" s="14"/>
      <c r="C203" s="66"/>
      <c r="E203" s="14"/>
    </row>
    <row r="204" spans="2:5" ht="13.5" customHeight="1" x14ac:dyDescent="0.3">
      <c r="B204" s="14"/>
      <c r="C204" s="66"/>
      <c r="E204" s="14"/>
    </row>
    <row r="205" spans="2:5" ht="13.5" customHeight="1" x14ac:dyDescent="0.3">
      <c r="B205" s="14"/>
      <c r="C205" s="66"/>
      <c r="E205" s="14"/>
    </row>
    <row r="206" spans="2:5" ht="13.5" customHeight="1" x14ac:dyDescent="0.3">
      <c r="B206" s="14"/>
      <c r="C206" s="66"/>
      <c r="E206" s="14"/>
    </row>
    <row r="207" spans="2:5" ht="13.5" customHeight="1" x14ac:dyDescent="0.3">
      <c r="B207" s="14"/>
      <c r="C207" s="66"/>
      <c r="E207" s="14"/>
    </row>
    <row r="208" spans="2:5" ht="13.5" customHeight="1" x14ac:dyDescent="0.3">
      <c r="B208" s="14"/>
      <c r="C208" s="66"/>
      <c r="E208" s="14"/>
    </row>
    <row r="209" spans="2:5" ht="13.5" customHeight="1" x14ac:dyDescent="0.3">
      <c r="B209" s="14"/>
      <c r="C209" s="66"/>
      <c r="E209" s="14"/>
    </row>
    <row r="210" spans="2:5" ht="13.5" customHeight="1" x14ac:dyDescent="0.3">
      <c r="B210" s="14"/>
      <c r="C210" s="66"/>
      <c r="E210" s="14"/>
    </row>
    <row r="211" spans="2:5" ht="13.5" customHeight="1" x14ac:dyDescent="0.3">
      <c r="B211" s="14"/>
      <c r="C211" s="66"/>
      <c r="E211" s="14"/>
    </row>
    <row r="212" spans="2:5" ht="13.5" customHeight="1" x14ac:dyDescent="0.3">
      <c r="B212" s="14"/>
      <c r="C212" s="66"/>
      <c r="E212" s="14"/>
    </row>
    <row r="213" spans="2:5" ht="13.5" customHeight="1" x14ac:dyDescent="0.3">
      <c r="B213" s="14"/>
      <c r="C213" s="66"/>
      <c r="E213" s="14"/>
    </row>
    <row r="214" spans="2:5" ht="13.5" customHeight="1" x14ac:dyDescent="0.3">
      <c r="B214" s="14"/>
      <c r="C214" s="66"/>
      <c r="E214" s="14"/>
    </row>
    <row r="215" spans="2:5" ht="13.5" customHeight="1" x14ac:dyDescent="0.3">
      <c r="B215" s="14"/>
      <c r="C215" s="66"/>
      <c r="E215" s="14"/>
    </row>
    <row r="216" spans="2:5" ht="13.5" customHeight="1" x14ac:dyDescent="0.3">
      <c r="B216" s="14"/>
      <c r="C216" s="66"/>
      <c r="E216" s="14"/>
    </row>
    <row r="217" spans="2:5" ht="13.5" customHeight="1" x14ac:dyDescent="0.3">
      <c r="B217" s="14"/>
      <c r="C217" s="66"/>
      <c r="E217" s="14"/>
    </row>
    <row r="218" spans="2:5" ht="13.5" customHeight="1" x14ac:dyDescent="0.3">
      <c r="B218" s="14"/>
      <c r="C218" s="66"/>
      <c r="E218" s="14"/>
    </row>
    <row r="219" spans="2:5" ht="13.5" customHeight="1" x14ac:dyDescent="0.3">
      <c r="B219" s="14"/>
      <c r="C219" s="66"/>
      <c r="E219" s="14"/>
    </row>
    <row r="220" spans="2:5" ht="13.5" customHeight="1" x14ac:dyDescent="0.3">
      <c r="B220" s="14"/>
      <c r="C220" s="66"/>
      <c r="E220" s="14"/>
    </row>
    <row r="221" spans="2:5" ht="13.5" customHeight="1" x14ac:dyDescent="0.3">
      <c r="B221" s="14"/>
      <c r="C221" s="66"/>
      <c r="E221" s="14"/>
    </row>
    <row r="222" spans="2:5" ht="13.5" customHeight="1" x14ac:dyDescent="0.3">
      <c r="B222" s="14"/>
      <c r="C222" s="66"/>
      <c r="E222" s="14"/>
    </row>
    <row r="223" spans="2:5" ht="13.5" customHeight="1" x14ac:dyDescent="0.3">
      <c r="B223" s="14"/>
      <c r="C223" s="66"/>
      <c r="E223" s="14"/>
    </row>
    <row r="224" spans="2:5" ht="13.5" customHeight="1" x14ac:dyDescent="0.3">
      <c r="B224" s="14"/>
      <c r="C224" s="66"/>
      <c r="E224" s="14"/>
    </row>
    <row r="225" spans="2:5" ht="13.5" customHeight="1" x14ac:dyDescent="0.3">
      <c r="B225" s="14"/>
      <c r="C225" s="66"/>
      <c r="E225" s="14"/>
    </row>
    <row r="226" spans="2:5" ht="13.5" customHeight="1" x14ac:dyDescent="0.3">
      <c r="B226" s="14"/>
      <c r="C226" s="66"/>
      <c r="E226" s="14"/>
    </row>
    <row r="227" spans="2:5" ht="13.5" customHeight="1" x14ac:dyDescent="0.3">
      <c r="B227" s="14"/>
      <c r="C227" s="66"/>
      <c r="E227" s="14"/>
    </row>
    <row r="228" spans="2:5" ht="13.5" customHeight="1" x14ac:dyDescent="0.3">
      <c r="B228" s="14"/>
      <c r="C228" s="66"/>
      <c r="E228" s="14"/>
    </row>
    <row r="229" spans="2:5" ht="13.5" customHeight="1" x14ac:dyDescent="0.3">
      <c r="B229" s="14"/>
      <c r="C229" s="66"/>
      <c r="E229" s="14"/>
    </row>
    <row r="230" spans="2:5" ht="13.5" customHeight="1" x14ac:dyDescent="0.3">
      <c r="B230" s="14"/>
      <c r="C230" s="66"/>
      <c r="E230" s="14"/>
    </row>
    <row r="231" spans="2:5" ht="13.5" customHeight="1" x14ac:dyDescent="0.3">
      <c r="B231" s="14"/>
      <c r="C231" s="66"/>
      <c r="E231" s="14"/>
    </row>
    <row r="232" spans="2:5" ht="13.5" customHeight="1" x14ac:dyDescent="0.3">
      <c r="B232" s="14"/>
      <c r="C232" s="66"/>
      <c r="E232" s="14"/>
    </row>
    <row r="233" spans="2:5" ht="13.5" customHeight="1" x14ac:dyDescent="0.3">
      <c r="B233" s="14"/>
      <c r="C233" s="66"/>
      <c r="E233" s="14"/>
    </row>
    <row r="234" spans="2:5" ht="13.5" customHeight="1" x14ac:dyDescent="0.3">
      <c r="B234" s="14"/>
      <c r="C234" s="66"/>
      <c r="E234" s="14"/>
    </row>
    <row r="235" spans="2:5" ht="13.5" customHeight="1" x14ac:dyDescent="0.3">
      <c r="B235" s="14"/>
      <c r="C235" s="66"/>
      <c r="E235" s="14"/>
    </row>
    <row r="236" spans="2:5" ht="13.5" customHeight="1" x14ac:dyDescent="0.3">
      <c r="B236" s="14"/>
      <c r="C236" s="66"/>
      <c r="E236" s="14"/>
    </row>
    <row r="237" spans="2:5" ht="13.5" customHeight="1" x14ac:dyDescent="0.3">
      <c r="B237" s="14"/>
      <c r="C237" s="66"/>
      <c r="E237" s="14"/>
    </row>
    <row r="238" spans="2:5" ht="13.5" customHeight="1" x14ac:dyDescent="0.3">
      <c r="B238" s="14"/>
      <c r="C238" s="66"/>
      <c r="E238" s="14"/>
    </row>
    <row r="239" spans="2:5" ht="13.5" customHeight="1" x14ac:dyDescent="0.3">
      <c r="B239" s="14"/>
      <c r="C239" s="66"/>
      <c r="E239" s="14"/>
    </row>
    <row r="240" spans="2:5" ht="13.5" customHeight="1" x14ac:dyDescent="0.3">
      <c r="B240" s="14"/>
      <c r="C240" s="66"/>
      <c r="E240" s="14"/>
    </row>
    <row r="241" spans="2:5" ht="13.5" customHeight="1" x14ac:dyDescent="0.3">
      <c r="B241" s="14"/>
      <c r="C241" s="66"/>
      <c r="E241" s="14"/>
    </row>
    <row r="242" spans="2:5" ht="13.5" customHeight="1" x14ac:dyDescent="0.3">
      <c r="B242" s="14"/>
      <c r="C242" s="66"/>
      <c r="E242" s="14"/>
    </row>
    <row r="243" spans="2:5" ht="13.5" customHeight="1" x14ac:dyDescent="0.3">
      <c r="B243" s="14"/>
      <c r="C243" s="66"/>
      <c r="E243" s="14"/>
    </row>
    <row r="244" spans="2:5" ht="13.5" customHeight="1" x14ac:dyDescent="0.3">
      <c r="B244" s="14"/>
      <c r="C244" s="66"/>
      <c r="E244" s="14"/>
    </row>
    <row r="245" spans="2:5" ht="13.5" customHeight="1" x14ac:dyDescent="0.3">
      <c r="B245" s="14"/>
      <c r="C245" s="66"/>
      <c r="E245" s="14"/>
    </row>
    <row r="246" spans="2:5" ht="13.5" customHeight="1" x14ac:dyDescent="0.3">
      <c r="B246" s="14"/>
      <c r="C246" s="66"/>
      <c r="E246" s="14"/>
    </row>
    <row r="247" spans="2:5" ht="13.5" customHeight="1" x14ac:dyDescent="0.3">
      <c r="B247" s="14"/>
      <c r="C247" s="66"/>
      <c r="E247" s="14"/>
    </row>
    <row r="248" spans="2:5" ht="13.5" customHeight="1" x14ac:dyDescent="0.3">
      <c r="B248" s="14"/>
      <c r="C248" s="66"/>
      <c r="E248" s="14"/>
    </row>
    <row r="249" spans="2:5" ht="13.5" customHeight="1" x14ac:dyDescent="0.3">
      <c r="B249" s="14"/>
      <c r="C249" s="66"/>
      <c r="E249" s="14"/>
    </row>
    <row r="250" spans="2:5" ht="13.5" customHeight="1" x14ac:dyDescent="0.3">
      <c r="B250" s="14"/>
      <c r="C250" s="66"/>
      <c r="E250" s="14"/>
    </row>
    <row r="251" spans="2:5" ht="13.5" customHeight="1" x14ac:dyDescent="0.3">
      <c r="B251" s="14"/>
      <c r="C251" s="66"/>
      <c r="E251" s="14"/>
    </row>
    <row r="252" spans="2:5" ht="13.5" customHeight="1" x14ac:dyDescent="0.3">
      <c r="B252" s="14"/>
      <c r="C252" s="66"/>
      <c r="E252" s="14"/>
    </row>
    <row r="253" spans="2:5" ht="13.5" customHeight="1" x14ac:dyDescent="0.3">
      <c r="B253" s="14"/>
      <c r="C253" s="66"/>
      <c r="E253" s="14"/>
    </row>
    <row r="254" spans="2:5" ht="13.5" customHeight="1" x14ac:dyDescent="0.3">
      <c r="B254" s="14"/>
      <c r="C254" s="66"/>
      <c r="E254" s="14"/>
    </row>
    <row r="255" spans="2:5" ht="13.5" customHeight="1" x14ac:dyDescent="0.3">
      <c r="B255" s="14"/>
      <c r="C255" s="66"/>
      <c r="E255" s="14"/>
    </row>
    <row r="256" spans="2:5" ht="13.5" customHeight="1" x14ac:dyDescent="0.3">
      <c r="B256" s="14"/>
      <c r="C256" s="66"/>
      <c r="E256" s="14"/>
    </row>
    <row r="257" spans="2:5" ht="13.5" customHeight="1" x14ac:dyDescent="0.3">
      <c r="B257" s="14"/>
      <c r="C257" s="66"/>
      <c r="E257" s="14"/>
    </row>
    <row r="258" spans="2:5" ht="13.5" customHeight="1" x14ac:dyDescent="0.3">
      <c r="B258" s="14"/>
      <c r="C258" s="66"/>
      <c r="E258" s="14"/>
    </row>
    <row r="259" spans="2:5" ht="13.5" customHeight="1" x14ac:dyDescent="0.3">
      <c r="B259" s="14"/>
      <c r="C259" s="66"/>
      <c r="E259" s="14"/>
    </row>
    <row r="260" spans="2:5" ht="13.5" customHeight="1" x14ac:dyDescent="0.3">
      <c r="B260" s="14"/>
      <c r="C260" s="66"/>
      <c r="E260" s="14"/>
    </row>
    <row r="261" spans="2:5" ht="13.5" customHeight="1" x14ac:dyDescent="0.3">
      <c r="B261" s="14"/>
      <c r="C261" s="66"/>
      <c r="E261" s="14"/>
    </row>
    <row r="262" spans="2:5" ht="13.5" customHeight="1" x14ac:dyDescent="0.3">
      <c r="B262" s="14"/>
      <c r="C262" s="66"/>
      <c r="E262" s="14"/>
    </row>
    <row r="263" spans="2:5" ht="13.5" customHeight="1" x14ac:dyDescent="0.3">
      <c r="B263" s="14"/>
      <c r="C263" s="66"/>
      <c r="E263" s="14"/>
    </row>
    <row r="264" spans="2:5" ht="13.5" customHeight="1" x14ac:dyDescent="0.3">
      <c r="B264" s="14"/>
      <c r="C264" s="66"/>
      <c r="E264" s="14"/>
    </row>
    <row r="265" spans="2:5" ht="13.5" customHeight="1" x14ac:dyDescent="0.3">
      <c r="B265" s="14"/>
      <c r="C265" s="66"/>
      <c r="E265" s="14"/>
    </row>
    <row r="266" spans="2:5" ht="13.5" customHeight="1" x14ac:dyDescent="0.3">
      <c r="B266" s="14"/>
      <c r="C266" s="66"/>
      <c r="E266" s="14"/>
    </row>
    <row r="267" spans="2:5" ht="13.5" customHeight="1" x14ac:dyDescent="0.3">
      <c r="B267" s="14"/>
      <c r="C267" s="66"/>
      <c r="E267" s="14"/>
    </row>
    <row r="268" spans="2:5" ht="13.5" customHeight="1" x14ac:dyDescent="0.3">
      <c r="B268" s="14"/>
      <c r="C268" s="66"/>
      <c r="E268" s="14"/>
    </row>
    <row r="269" spans="2:5" ht="13.5" customHeight="1" x14ac:dyDescent="0.3">
      <c r="B269" s="14"/>
      <c r="C269" s="66"/>
      <c r="E269" s="14"/>
    </row>
    <row r="270" spans="2:5" ht="13.5" customHeight="1" x14ac:dyDescent="0.3">
      <c r="B270" s="14"/>
      <c r="C270" s="66"/>
      <c r="E270" s="14"/>
    </row>
    <row r="271" spans="2:5" ht="13.5" customHeight="1" x14ac:dyDescent="0.3">
      <c r="B271" s="14"/>
      <c r="C271" s="66"/>
      <c r="E271" s="14"/>
    </row>
    <row r="272" spans="2:5" ht="13.5" customHeight="1" x14ac:dyDescent="0.3">
      <c r="B272" s="14"/>
      <c r="C272" s="66"/>
      <c r="E272" s="14"/>
    </row>
    <row r="273" spans="2:5" ht="13.5" customHeight="1" x14ac:dyDescent="0.3">
      <c r="B273" s="14"/>
      <c r="C273" s="66"/>
      <c r="E273" s="14"/>
    </row>
    <row r="274" spans="2:5" ht="13.5" customHeight="1" x14ac:dyDescent="0.3">
      <c r="B274" s="14"/>
      <c r="C274" s="66"/>
      <c r="E274" s="14"/>
    </row>
    <row r="275" spans="2:5" ht="13.5" customHeight="1" x14ac:dyDescent="0.3">
      <c r="B275" s="14"/>
      <c r="C275" s="66"/>
      <c r="E275" s="14"/>
    </row>
    <row r="276" spans="2:5" ht="13.5" customHeight="1" x14ac:dyDescent="0.3">
      <c r="B276" s="14"/>
      <c r="C276" s="66"/>
      <c r="E276" s="14"/>
    </row>
    <row r="277" spans="2:5" ht="13.5" customHeight="1" x14ac:dyDescent="0.3">
      <c r="B277" s="14"/>
      <c r="C277" s="66"/>
      <c r="E277" s="14"/>
    </row>
    <row r="278" spans="2:5" ht="13.5" customHeight="1" x14ac:dyDescent="0.3">
      <c r="B278" s="14"/>
      <c r="C278" s="66"/>
      <c r="E278" s="14"/>
    </row>
    <row r="279" spans="2:5" ht="13.5" customHeight="1" x14ac:dyDescent="0.3">
      <c r="B279" s="14"/>
      <c r="C279" s="66"/>
      <c r="E279" s="14"/>
    </row>
    <row r="280" spans="2:5" ht="13.5" customHeight="1" x14ac:dyDescent="0.3">
      <c r="B280" s="14"/>
      <c r="C280" s="66"/>
      <c r="E280" s="14"/>
    </row>
    <row r="281" spans="2:5" ht="13.5" customHeight="1" x14ac:dyDescent="0.3">
      <c r="B281" s="14"/>
      <c r="C281" s="66"/>
      <c r="E281" s="14"/>
    </row>
    <row r="282" spans="2:5" ht="13.5" customHeight="1" x14ac:dyDescent="0.3">
      <c r="B282" s="14"/>
      <c r="C282" s="66"/>
      <c r="E282" s="14"/>
    </row>
    <row r="283" spans="2:5" ht="13.5" customHeight="1" x14ac:dyDescent="0.3">
      <c r="B283" s="14"/>
      <c r="C283" s="66"/>
      <c r="E283" s="14"/>
    </row>
    <row r="284" spans="2:5" ht="13.5" customHeight="1" x14ac:dyDescent="0.3">
      <c r="B284" s="14"/>
      <c r="C284" s="66"/>
      <c r="E284" s="14"/>
    </row>
    <row r="285" spans="2:5" ht="13.5" customHeight="1" x14ac:dyDescent="0.3">
      <c r="B285" s="14"/>
      <c r="C285" s="66"/>
      <c r="E285" s="14"/>
    </row>
    <row r="286" spans="2:5" ht="13.5" customHeight="1" x14ac:dyDescent="0.3">
      <c r="B286" s="14"/>
      <c r="C286" s="66"/>
      <c r="E286" s="14"/>
    </row>
    <row r="287" spans="2:5" ht="13.5" customHeight="1" x14ac:dyDescent="0.3">
      <c r="B287" s="14"/>
      <c r="C287" s="66"/>
      <c r="E287" s="14"/>
    </row>
    <row r="288" spans="2:5" ht="13.5" customHeight="1" x14ac:dyDescent="0.3">
      <c r="B288" s="14"/>
      <c r="C288" s="66"/>
      <c r="E288" s="14"/>
    </row>
    <row r="289" spans="2:5" ht="13.5" customHeight="1" x14ac:dyDescent="0.3">
      <c r="B289" s="14"/>
      <c r="C289" s="66"/>
      <c r="E289" s="14"/>
    </row>
    <row r="290" spans="2:5" ht="13.5" customHeight="1" x14ac:dyDescent="0.3">
      <c r="B290" s="14"/>
      <c r="C290" s="66"/>
      <c r="E290" s="14"/>
    </row>
    <row r="291" spans="2:5" ht="13.5" customHeight="1" x14ac:dyDescent="0.3">
      <c r="B291" s="14"/>
      <c r="C291" s="66"/>
      <c r="E291" s="14"/>
    </row>
    <row r="292" spans="2:5" ht="13.5" customHeight="1" x14ac:dyDescent="0.3">
      <c r="B292" s="14"/>
      <c r="C292" s="66"/>
      <c r="E292" s="14"/>
    </row>
    <row r="293" spans="2:5" ht="13.5" customHeight="1" x14ac:dyDescent="0.3">
      <c r="B293" s="14"/>
      <c r="C293" s="66"/>
      <c r="E293" s="14"/>
    </row>
    <row r="294" spans="2:5" ht="13.5" customHeight="1" x14ac:dyDescent="0.3">
      <c r="B294" s="14"/>
      <c r="C294" s="66"/>
      <c r="E294" s="14"/>
    </row>
    <row r="295" spans="2:5" ht="13.5" customHeight="1" x14ac:dyDescent="0.3">
      <c r="B295" s="14"/>
      <c r="C295" s="66"/>
      <c r="E295" s="14"/>
    </row>
    <row r="296" spans="2:5" ht="13.5" customHeight="1" x14ac:dyDescent="0.3">
      <c r="B296" s="14"/>
      <c r="C296" s="66"/>
      <c r="E296" s="14"/>
    </row>
    <row r="297" spans="2:5" ht="13.5" customHeight="1" x14ac:dyDescent="0.3">
      <c r="B297" s="14"/>
      <c r="C297" s="66"/>
      <c r="E297" s="14"/>
    </row>
    <row r="298" spans="2:5" ht="13.5" customHeight="1" x14ac:dyDescent="0.3">
      <c r="B298" s="14"/>
      <c r="C298" s="66"/>
      <c r="E298" s="14"/>
    </row>
    <row r="299" spans="2:5" ht="13.5" customHeight="1" x14ac:dyDescent="0.3">
      <c r="B299" s="14"/>
      <c r="C299" s="66"/>
      <c r="E299" s="14"/>
    </row>
    <row r="300" spans="2:5" ht="13.5" customHeight="1" x14ac:dyDescent="0.3">
      <c r="B300" s="14"/>
      <c r="C300" s="66"/>
      <c r="E300" s="14"/>
    </row>
    <row r="301" spans="2:5" ht="13.5" customHeight="1" x14ac:dyDescent="0.3">
      <c r="B301" s="14"/>
      <c r="C301" s="66"/>
      <c r="E301" s="14"/>
    </row>
    <row r="302" spans="2:5" ht="13.5" customHeight="1" x14ac:dyDescent="0.3">
      <c r="B302" s="14"/>
      <c r="C302" s="66"/>
      <c r="E302" s="14"/>
    </row>
    <row r="303" spans="2:5" ht="13.5" customHeight="1" x14ac:dyDescent="0.3">
      <c r="B303" s="14"/>
      <c r="C303" s="66"/>
      <c r="E303" s="14"/>
    </row>
    <row r="304" spans="2:5" ht="13.5" customHeight="1" x14ac:dyDescent="0.3">
      <c r="B304" s="14"/>
      <c r="C304" s="66"/>
      <c r="E304" s="14"/>
    </row>
    <row r="305" spans="2:5" ht="13.5" customHeight="1" x14ac:dyDescent="0.3">
      <c r="B305" s="14"/>
      <c r="C305" s="66"/>
      <c r="E305" s="14"/>
    </row>
    <row r="306" spans="2:5" ht="13.5" customHeight="1" x14ac:dyDescent="0.3">
      <c r="B306" s="14"/>
      <c r="C306" s="66"/>
      <c r="E306" s="14"/>
    </row>
    <row r="307" spans="2:5" ht="13.5" customHeight="1" x14ac:dyDescent="0.3">
      <c r="B307" s="14"/>
      <c r="C307" s="66"/>
      <c r="E307" s="14"/>
    </row>
    <row r="308" spans="2:5" ht="13.5" customHeight="1" x14ac:dyDescent="0.3">
      <c r="B308" s="14"/>
      <c r="C308" s="66"/>
      <c r="E308" s="14"/>
    </row>
    <row r="309" spans="2:5" ht="13.5" customHeight="1" x14ac:dyDescent="0.3">
      <c r="B309" s="14"/>
      <c r="C309" s="66"/>
      <c r="E309" s="14"/>
    </row>
    <row r="310" spans="2:5" ht="13.5" customHeight="1" x14ac:dyDescent="0.3">
      <c r="B310" s="14"/>
      <c r="C310" s="66"/>
      <c r="E310" s="14"/>
    </row>
    <row r="311" spans="2:5" ht="13.5" customHeight="1" x14ac:dyDescent="0.3">
      <c r="B311" s="14"/>
      <c r="C311" s="66"/>
      <c r="E311" s="14"/>
    </row>
    <row r="312" spans="2:5" ht="13.5" customHeight="1" x14ac:dyDescent="0.3">
      <c r="B312" s="14"/>
      <c r="C312" s="66"/>
      <c r="E312" s="14"/>
    </row>
    <row r="313" spans="2:5" ht="13.5" customHeight="1" x14ac:dyDescent="0.3">
      <c r="B313" s="14"/>
      <c r="C313" s="66"/>
      <c r="E313" s="14"/>
    </row>
    <row r="314" spans="2:5" ht="13.5" customHeight="1" x14ac:dyDescent="0.3">
      <c r="B314" s="14"/>
      <c r="C314" s="66"/>
      <c r="E314" s="14"/>
    </row>
    <row r="315" spans="2:5" ht="13.5" customHeight="1" x14ac:dyDescent="0.3">
      <c r="B315" s="14"/>
      <c r="C315" s="66"/>
      <c r="E315" s="14"/>
    </row>
    <row r="316" spans="2:5" ht="13.5" customHeight="1" x14ac:dyDescent="0.3">
      <c r="B316" s="14"/>
      <c r="C316" s="66"/>
      <c r="E316" s="14"/>
    </row>
    <row r="317" spans="2:5" ht="13.5" customHeight="1" x14ac:dyDescent="0.3">
      <c r="B317" s="14"/>
      <c r="C317" s="66"/>
      <c r="E317" s="14"/>
    </row>
    <row r="318" spans="2:5" ht="13.5" customHeight="1" x14ac:dyDescent="0.3">
      <c r="B318" s="14"/>
      <c r="C318" s="66"/>
      <c r="E318" s="14"/>
    </row>
    <row r="319" spans="2:5" ht="13.5" customHeight="1" x14ac:dyDescent="0.3">
      <c r="B319" s="14"/>
      <c r="C319" s="66"/>
      <c r="E319" s="14"/>
    </row>
    <row r="320" spans="2:5" ht="13.5" customHeight="1" x14ac:dyDescent="0.3">
      <c r="B320" s="14"/>
      <c r="C320" s="66"/>
      <c r="E320" s="14"/>
    </row>
    <row r="321" spans="2:5" ht="13.5" customHeight="1" x14ac:dyDescent="0.3">
      <c r="B321" s="14"/>
      <c r="C321" s="66"/>
      <c r="E321" s="14"/>
    </row>
    <row r="322" spans="2:5" ht="13.5" customHeight="1" x14ac:dyDescent="0.3">
      <c r="B322" s="14"/>
      <c r="C322" s="66"/>
      <c r="E322" s="14"/>
    </row>
    <row r="323" spans="2:5" ht="13.5" customHeight="1" x14ac:dyDescent="0.3">
      <c r="B323" s="14"/>
      <c r="C323" s="66"/>
      <c r="E323" s="14"/>
    </row>
    <row r="324" spans="2:5" ht="13.5" customHeight="1" x14ac:dyDescent="0.3">
      <c r="B324" s="14"/>
      <c r="C324" s="66"/>
      <c r="E324" s="14"/>
    </row>
    <row r="325" spans="2:5" ht="13.5" customHeight="1" x14ac:dyDescent="0.3">
      <c r="B325" s="14"/>
      <c r="C325" s="66"/>
      <c r="E325" s="14"/>
    </row>
    <row r="326" spans="2:5" ht="15.75" customHeight="1" x14ac:dyDescent="0.3">
      <c r="E326" s="14"/>
    </row>
    <row r="327" spans="2:5" ht="15.75" customHeight="1" x14ac:dyDescent="0.3">
      <c r="E327" s="14"/>
    </row>
    <row r="328" spans="2:5" ht="15.75" customHeight="1" x14ac:dyDescent="0.3">
      <c r="E328" s="14"/>
    </row>
    <row r="329" spans="2:5" ht="15.75" customHeight="1" x14ac:dyDescent="0.3">
      <c r="E329" s="14"/>
    </row>
    <row r="330" spans="2:5" ht="15.75" customHeight="1" x14ac:dyDescent="0.3">
      <c r="E330" s="14"/>
    </row>
    <row r="331" spans="2:5" ht="15.75" customHeight="1" x14ac:dyDescent="0.3">
      <c r="E331" s="14"/>
    </row>
    <row r="332" spans="2:5" ht="15.75" customHeight="1" x14ac:dyDescent="0.3">
      <c r="E332" s="14"/>
    </row>
    <row r="333" spans="2:5" ht="15.75" customHeight="1" x14ac:dyDescent="0.3">
      <c r="E333" s="14"/>
    </row>
    <row r="334" spans="2:5" ht="15.75" customHeight="1" x14ac:dyDescent="0.3">
      <c r="E334" s="14"/>
    </row>
    <row r="335" spans="2:5" ht="15.75" customHeight="1" x14ac:dyDescent="0.3">
      <c r="E335" s="14"/>
    </row>
    <row r="336" spans="2:5" ht="15.75" customHeight="1" x14ac:dyDescent="0.3">
      <c r="E336" s="14"/>
    </row>
    <row r="337" spans="5:5" ht="15.75" customHeight="1" x14ac:dyDescent="0.3">
      <c r="E337" s="14"/>
    </row>
    <row r="338" spans="5:5" ht="15.75" customHeight="1" x14ac:dyDescent="0.3">
      <c r="E338" s="14"/>
    </row>
    <row r="339" spans="5:5" ht="15.75" customHeight="1" x14ac:dyDescent="0.3">
      <c r="E339" s="14"/>
    </row>
    <row r="340" spans="5:5" ht="15.75" customHeight="1" x14ac:dyDescent="0.3">
      <c r="E340" s="14"/>
    </row>
    <row r="341" spans="5:5" ht="15.75" customHeight="1" x14ac:dyDescent="0.3">
      <c r="E341" s="14"/>
    </row>
    <row r="342" spans="5:5" ht="15.75" customHeight="1" x14ac:dyDescent="0.3">
      <c r="E342" s="14"/>
    </row>
    <row r="343" spans="5:5" ht="15.75" customHeight="1" x14ac:dyDescent="0.3">
      <c r="E343" s="14"/>
    </row>
    <row r="344" spans="5:5" ht="15.75" customHeight="1" x14ac:dyDescent="0.3">
      <c r="E344" s="14"/>
    </row>
    <row r="345" spans="5:5" ht="15.75" customHeight="1" x14ac:dyDescent="0.3">
      <c r="E345" s="14"/>
    </row>
    <row r="346" spans="5:5" ht="15.75" customHeight="1" x14ac:dyDescent="0.3">
      <c r="E346" s="14"/>
    </row>
    <row r="347" spans="5:5" ht="15.75" customHeight="1" x14ac:dyDescent="0.3">
      <c r="E347" s="14"/>
    </row>
    <row r="348" spans="5:5" ht="15.75" customHeight="1" x14ac:dyDescent="0.3">
      <c r="E348" s="14"/>
    </row>
    <row r="349" spans="5:5" ht="15.75" customHeight="1" x14ac:dyDescent="0.3">
      <c r="E349" s="14"/>
    </row>
    <row r="350" spans="5:5" ht="15.75" customHeight="1" x14ac:dyDescent="0.3">
      <c r="E350" s="14"/>
    </row>
    <row r="351" spans="5:5" ht="15.75" customHeight="1" x14ac:dyDescent="0.3">
      <c r="E351" s="14"/>
    </row>
    <row r="352" spans="5:5" ht="15.75" customHeight="1" x14ac:dyDescent="0.3">
      <c r="E352" s="14"/>
    </row>
    <row r="353" spans="5:5" ht="15.75" customHeight="1" x14ac:dyDescent="0.3">
      <c r="E353" s="14"/>
    </row>
    <row r="354" spans="5:5" ht="15.75" customHeight="1" x14ac:dyDescent="0.3">
      <c r="E354" s="14"/>
    </row>
    <row r="355" spans="5:5" ht="15.75" customHeight="1" x14ac:dyDescent="0.3">
      <c r="E355" s="14"/>
    </row>
    <row r="356" spans="5:5" ht="15.75" customHeight="1" x14ac:dyDescent="0.3">
      <c r="E356" s="14"/>
    </row>
    <row r="357" spans="5:5" ht="15.75" customHeight="1" x14ac:dyDescent="0.3">
      <c r="E357" s="14"/>
    </row>
    <row r="358" spans="5:5" ht="15.75" customHeight="1" x14ac:dyDescent="0.3">
      <c r="E358" s="14"/>
    </row>
    <row r="359" spans="5:5" ht="15.75" customHeight="1" x14ac:dyDescent="0.3">
      <c r="E359" s="14"/>
    </row>
    <row r="360" spans="5:5" ht="15.75" customHeight="1" x14ac:dyDescent="0.3">
      <c r="E360" s="14"/>
    </row>
    <row r="361" spans="5:5" ht="15.75" customHeight="1" x14ac:dyDescent="0.3">
      <c r="E361" s="14"/>
    </row>
    <row r="362" spans="5:5" ht="15.75" customHeight="1" x14ac:dyDescent="0.3">
      <c r="E362" s="14"/>
    </row>
    <row r="363" spans="5:5" ht="15.75" customHeight="1" x14ac:dyDescent="0.3">
      <c r="E363" s="14"/>
    </row>
    <row r="364" spans="5:5" ht="15.75" customHeight="1" x14ac:dyDescent="0.3">
      <c r="E364" s="14"/>
    </row>
    <row r="365" spans="5:5" ht="15.75" customHeight="1" x14ac:dyDescent="0.3">
      <c r="E365" s="14"/>
    </row>
    <row r="366" spans="5:5" ht="15.75" customHeight="1" x14ac:dyDescent="0.3">
      <c r="E366" s="14"/>
    </row>
    <row r="367" spans="5:5" ht="15.75" customHeight="1" x14ac:dyDescent="0.3">
      <c r="E367" s="14"/>
    </row>
    <row r="368" spans="5:5" ht="15.75" customHeight="1" x14ac:dyDescent="0.3">
      <c r="E368" s="14"/>
    </row>
    <row r="369" spans="5:5" ht="15.75" customHeight="1" x14ac:dyDescent="0.3">
      <c r="E369" s="14"/>
    </row>
    <row r="370" spans="5:5" ht="15.75" customHeight="1" x14ac:dyDescent="0.3">
      <c r="E370" s="14"/>
    </row>
    <row r="371" spans="5:5" ht="15.75" customHeight="1" x14ac:dyDescent="0.3">
      <c r="E371" s="14"/>
    </row>
    <row r="372" spans="5:5" ht="15.75" customHeight="1" x14ac:dyDescent="0.3">
      <c r="E372" s="14"/>
    </row>
    <row r="373" spans="5:5" ht="15.75" customHeight="1" x14ac:dyDescent="0.3">
      <c r="E373" s="14"/>
    </row>
    <row r="374" spans="5:5" ht="15.75" customHeight="1" x14ac:dyDescent="0.3">
      <c r="E374" s="14"/>
    </row>
    <row r="375" spans="5:5" ht="15.75" customHeight="1" x14ac:dyDescent="0.3">
      <c r="E375" s="14"/>
    </row>
    <row r="376" spans="5:5" ht="15.75" customHeight="1" x14ac:dyDescent="0.3">
      <c r="E376" s="14"/>
    </row>
    <row r="377" spans="5:5" ht="15.75" customHeight="1" x14ac:dyDescent="0.3">
      <c r="E377" s="14"/>
    </row>
    <row r="378" spans="5:5" ht="15.75" customHeight="1" x14ac:dyDescent="0.3">
      <c r="E378" s="14"/>
    </row>
    <row r="379" spans="5:5" ht="15.75" customHeight="1" x14ac:dyDescent="0.3">
      <c r="E379" s="14"/>
    </row>
    <row r="380" spans="5:5" ht="15.75" customHeight="1" x14ac:dyDescent="0.3">
      <c r="E380" s="14"/>
    </row>
    <row r="381" spans="5:5" ht="15.75" customHeight="1" x14ac:dyDescent="0.3">
      <c r="E381" s="14"/>
    </row>
    <row r="382" spans="5:5" ht="15.75" customHeight="1" x14ac:dyDescent="0.3">
      <c r="E382" s="14"/>
    </row>
    <row r="383" spans="5:5" ht="15.75" customHeight="1" x14ac:dyDescent="0.3">
      <c r="E383" s="14"/>
    </row>
    <row r="384" spans="5:5" ht="15.75" customHeight="1" x14ac:dyDescent="0.3">
      <c r="E384" s="14"/>
    </row>
    <row r="385" spans="5:5" ht="15.75" customHeight="1" x14ac:dyDescent="0.3">
      <c r="E385" s="14"/>
    </row>
    <row r="386" spans="5:5" ht="15.75" customHeight="1" x14ac:dyDescent="0.3">
      <c r="E386" s="14"/>
    </row>
    <row r="387" spans="5:5" ht="15.75" customHeight="1" x14ac:dyDescent="0.3">
      <c r="E387" s="14"/>
    </row>
    <row r="388" spans="5:5" ht="15.75" customHeight="1" x14ac:dyDescent="0.3">
      <c r="E388" s="14"/>
    </row>
    <row r="389" spans="5:5" ht="15.75" customHeight="1" x14ac:dyDescent="0.3">
      <c r="E389" s="14"/>
    </row>
    <row r="390" spans="5:5" ht="15.75" customHeight="1" x14ac:dyDescent="0.3">
      <c r="E390" s="14"/>
    </row>
    <row r="391" spans="5:5" ht="15.75" customHeight="1" x14ac:dyDescent="0.3">
      <c r="E391" s="14"/>
    </row>
    <row r="392" spans="5:5" ht="15.75" customHeight="1" x14ac:dyDescent="0.3">
      <c r="E392" s="14"/>
    </row>
    <row r="393" spans="5:5" ht="15.75" customHeight="1" x14ac:dyDescent="0.3">
      <c r="E393" s="14"/>
    </row>
    <row r="394" spans="5:5" ht="15.75" customHeight="1" x14ac:dyDescent="0.3">
      <c r="E394" s="14"/>
    </row>
    <row r="395" spans="5:5" ht="15.75" customHeight="1" x14ac:dyDescent="0.3">
      <c r="E395" s="14"/>
    </row>
    <row r="396" spans="5:5" ht="15.75" customHeight="1" x14ac:dyDescent="0.3">
      <c r="E396" s="14"/>
    </row>
    <row r="397" spans="5:5" ht="15.75" customHeight="1" x14ac:dyDescent="0.3">
      <c r="E397" s="14"/>
    </row>
    <row r="398" spans="5:5" ht="15.75" customHeight="1" x14ac:dyDescent="0.3">
      <c r="E398" s="14"/>
    </row>
    <row r="399" spans="5:5" ht="15.75" customHeight="1" x14ac:dyDescent="0.3">
      <c r="E399" s="14"/>
    </row>
    <row r="400" spans="5:5" ht="15.75" customHeight="1" x14ac:dyDescent="0.3">
      <c r="E400" s="14"/>
    </row>
    <row r="401" spans="5:5" ht="15.75" customHeight="1" x14ac:dyDescent="0.3">
      <c r="E401" s="14"/>
    </row>
    <row r="402" spans="5:5" ht="15.75" customHeight="1" x14ac:dyDescent="0.3">
      <c r="E402" s="14"/>
    </row>
    <row r="403" spans="5:5" ht="15.75" customHeight="1" x14ac:dyDescent="0.3">
      <c r="E403" s="14"/>
    </row>
    <row r="404" spans="5:5" ht="15.75" customHeight="1" x14ac:dyDescent="0.3">
      <c r="E404" s="14"/>
    </row>
    <row r="405" spans="5:5" ht="15.75" customHeight="1" x14ac:dyDescent="0.3">
      <c r="E405" s="14"/>
    </row>
    <row r="406" spans="5:5" ht="15.75" customHeight="1" x14ac:dyDescent="0.3">
      <c r="E406" s="14"/>
    </row>
    <row r="407" spans="5:5" ht="15.75" customHeight="1" x14ac:dyDescent="0.3">
      <c r="E407" s="14"/>
    </row>
    <row r="408" spans="5:5" ht="15.75" customHeight="1" x14ac:dyDescent="0.3">
      <c r="E408" s="14"/>
    </row>
    <row r="409" spans="5:5" ht="15.75" customHeight="1" x14ac:dyDescent="0.3">
      <c r="E409" s="14"/>
    </row>
    <row r="410" spans="5:5" ht="15.75" customHeight="1" x14ac:dyDescent="0.3">
      <c r="E410" s="14"/>
    </row>
    <row r="411" spans="5:5" ht="15.75" customHeight="1" x14ac:dyDescent="0.3">
      <c r="E411" s="14"/>
    </row>
    <row r="412" spans="5:5" ht="15.75" customHeight="1" x14ac:dyDescent="0.3">
      <c r="E412" s="14"/>
    </row>
    <row r="413" spans="5:5" ht="15.75" customHeight="1" x14ac:dyDescent="0.3">
      <c r="E413" s="14"/>
    </row>
    <row r="414" spans="5:5" ht="15.75" customHeight="1" x14ac:dyDescent="0.3">
      <c r="E414" s="14"/>
    </row>
    <row r="415" spans="5:5" ht="15.75" customHeight="1" x14ac:dyDescent="0.3">
      <c r="E415" s="14"/>
    </row>
    <row r="416" spans="5:5" ht="15.75" customHeight="1" x14ac:dyDescent="0.3">
      <c r="E416" s="14"/>
    </row>
    <row r="417" spans="5:5" ht="15.75" customHeight="1" x14ac:dyDescent="0.3">
      <c r="E417" s="14"/>
    </row>
    <row r="418" spans="5:5" ht="15.75" customHeight="1" x14ac:dyDescent="0.3">
      <c r="E418" s="14"/>
    </row>
    <row r="419" spans="5:5" ht="15.75" customHeight="1" x14ac:dyDescent="0.3">
      <c r="E419" s="14"/>
    </row>
    <row r="420" spans="5:5" ht="15.75" customHeight="1" x14ac:dyDescent="0.3">
      <c r="E420" s="14"/>
    </row>
    <row r="421" spans="5:5" ht="15.75" customHeight="1" x14ac:dyDescent="0.3">
      <c r="E421" s="14"/>
    </row>
    <row r="422" spans="5:5" ht="15.75" customHeight="1" x14ac:dyDescent="0.3">
      <c r="E422" s="14"/>
    </row>
    <row r="423" spans="5:5" ht="15.75" customHeight="1" x14ac:dyDescent="0.3">
      <c r="E423" s="14"/>
    </row>
    <row r="424" spans="5:5" ht="15.75" customHeight="1" x14ac:dyDescent="0.3">
      <c r="E424" s="14"/>
    </row>
    <row r="425" spans="5:5" ht="15.75" customHeight="1" x14ac:dyDescent="0.3">
      <c r="E425" s="14"/>
    </row>
    <row r="426" spans="5:5" ht="15.75" customHeight="1" x14ac:dyDescent="0.3">
      <c r="E426" s="14"/>
    </row>
    <row r="427" spans="5:5" ht="15.75" customHeight="1" x14ac:dyDescent="0.3">
      <c r="E427" s="14"/>
    </row>
    <row r="428" spans="5:5" ht="15.75" customHeight="1" x14ac:dyDescent="0.3">
      <c r="E428" s="14"/>
    </row>
    <row r="429" spans="5:5" ht="15.75" customHeight="1" x14ac:dyDescent="0.3">
      <c r="E429" s="14"/>
    </row>
    <row r="430" spans="5:5" ht="15.75" customHeight="1" x14ac:dyDescent="0.3">
      <c r="E430" s="14"/>
    </row>
    <row r="431" spans="5:5" ht="15.75" customHeight="1" x14ac:dyDescent="0.3">
      <c r="E431" s="14"/>
    </row>
    <row r="432" spans="5:5" ht="15.75" customHeight="1" x14ac:dyDescent="0.3">
      <c r="E432" s="14"/>
    </row>
    <row r="433" spans="5:5" ht="15.75" customHeight="1" x14ac:dyDescent="0.3">
      <c r="E433" s="14"/>
    </row>
    <row r="434" spans="5:5" ht="15.75" customHeight="1" x14ac:dyDescent="0.3">
      <c r="E434" s="14"/>
    </row>
    <row r="435" spans="5:5" ht="15.75" customHeight="1" x14ac:dyDescent="0.3">
      <c r="E435" s="14"/>
    </row>
    <row r="436" spans="5:5" ht="15.75" customHeight="1" x14ac:dyDescent="0.3">
      <c r="E436" s="14"/>
    </row>
    <row r="437" spans="5:5" ht="15.75" customHeight="1" x14ac:dyDescent="0.3">
      <c r="E437" s="14"/>
    </row>
    <row r="438" spans="5:5" ht="15.75" customHeight="1" x14ac:dyDescent="0.3">
      <c r="E438" s="14"/>
    </row>
    <row r="439" spans="5:5" ht="15.75" customHeight="1" x14ac:dyDescent="0.3">
      <c r="E439" s="14"/>
    </row>
    <row r="440" spans="5:5" ht="15.75" customHeight="1" x14ac:dyDescent="0.3">
      <c r="E440" s="14"/>
    </row>
    <row r="441" spans="5:5" ht="15.75" customHeight="1" x14ac:dyDescent="0.3">
      <c r="E441" s="14"/>
    </row>
    <row r="442" spans="5:5" ht="15.75" customHeight="1" x14ac:dyDescent="0.3">
      <c r="E442" s="14"/>
    </row>
    <row r="443" spans="5:5" ht="15.75" customHeight="1" x14ac:dyDescent="0.3">
      <c r="E443" s="14"/>
    </row>
    <row r="444" spans="5:5" ht="15.75" customHeight="1" x14ac:dyDescent="0.3">
      <c r="E444" s="14"/>
    </row>
    <row r="445" spans="5:5" ht="15.75" customHeight="1" x14ac:dyDescent="0.3">
      <c r="E445" s="14"/>
    </row>
    <row r="446" spans="5:5" ht="15.75" customHeight="1" x14ac:dyDescent="0.3">
      <c r="E446" s="14"/>
    </row>
    <row r="447" spans="5:5" ht="15.75" customHeight="1" x14ac:dyDescent="0.3">
      <c r="E447" s="14"/>
    </row>
    <row r="448" spans="5:5" ht="15.75" customHeight="1" x14ac:dyDescent="0.3">
      <c r="E448" s="14"/>
    </row>
    <row r="449" spans="5:5" ht="15.75" customHeight="1" x14ac:dyDescent="0.3">
      <c r="E449" s="14"/>
    </row>
    <row r="450" spans="5:5" ht="15.75" customHeight="1" x14ac:dyDescent="0.3">
      <c r="E450" s="14"/>
    </row>
    <row r="451" spans="5:5" ht="15.75" customHeight="1" x14ac:dyDescent="0.3">
      <c r="E451" s="14"/>
    </row>
    <row r="452" spans="5:5" ht="15.75" customHeight="1" x14ac:dyDescent="0.3">
      <c r="E452" s="14"/>
    </row>
    <row r="453" spans="5:5" ht="15.75" customHeight="1" x14ac:dyDescent="0.3">
      <c r="E453" s="14"/>
    </row>
    <row r="454" spans="5:5" ht="15.75" customHeight="1" x14ac:dyDescent="0.3">
      <c r="E454" s="14"/>
    </row>
    <row r="455" spans="5:5" ht="15.75" customHeight="1" x14ac:dyDescent="0.3">
      <c r="E455" s="14"/>
    </row>
    <row r="456" spans="5:5" ht="15.75" customHeight="1" x14ac:dyDescent="0.3">
      <c r="E456" s="14"/>
    </row>
    <row r="457" spans="5:5" ht="15.75" customHeight="1" x14ac:dyDescent="0.3">
      <c r="E457" s="14"/>
    </row>
    <row r="458" spans="5:5" ht="15.75" customHeight="1" x14ac:dyDescent="0.3">
      <c r="E458" s="14"/>
    </row>
    <row r="459" spans="5:5" ht="15.75" customHeight="1" x14ac:dyDescent="0.3">
      <c r="E459" s="14"/>
    </row>
    <row r="460" spans="5:5" ht="15.75" customHeight="1" x14ac:dyDescent="0.3">
      <c r="E460" s="14"/>
    </row>
    <row r="461" spans="5:5" ht="15.75" customHeight="1" x14ac:dyDescent="0.3">
      <c r="E461" s="14"/>
    </row>
    <row r="462" spans="5:5" ht="15.75" customHeight="1" x14ac:dyDescent="0.3">
      <c r="E462" s="14"/>
    </row>
    <row r="463" spans="5:5" ht="15.75" customHeight="1" x14ac:dyDescent="0.3">
      <c r="E463" s="14"/>
    </row>
    <row r="464" spans="5:5" ht="15.75" customHeight="1" x14ac:dyDescent="0.3">
      <c r="E464" s="14"/>
    </row>
    <row r="465" spans="5:5" ht="15.75" customHeight="1" x14ac:dyDescent="0.3">
      <c r="E465" s="14"/>
    </row>
    <row r="466" spans="5:5" ht="15.75" customHeight="1" x14ac:dyDescent="0.3">
      <c r="E466" s="14"/>
    </row>
    <row r="467" spans="5:5" ht="15.75" customHeight="1" x14ac:dyDescent="0.3">
      <c r="E467" s="14"/>
    </row>
    <row r="468" spans="5:5" ht="15.75" customHeight="1" x14ac:dyDescent="0.3">
      <c r="E468" s="14"/>
    </row>
    <row r="469" spans="5:5" ht="15.75" customHeight="1" x14ac:dyDescent="0.3">
      <c r="E469" s="14"/>
    </row>
    <row r="470" spans="5:5" ht="15.75" customHeight="1" x14ac:dyDescent="0.3">
      <c r="E470" s="14"/>
    </row>
    <row r="471" spans="5:5" ht="15.75" customHeight="1" x14ac:dyDescent="0.3">
      <c r="E471" s="14"/>
    </row>
    <row r="472" spans="5:5" ht="15.75" customHeight="1" x14ac:dyDescent="0.3">
      <c r="E472" s="14"/>
    </row>
    <row r="473" spans="5:5" ht="15.75" customHeight="1" x14ac:dyDescent="0.3">
      <c r="E473" s="14"/>
    </row>
    <row r="474" spans="5:5" ht="15.75" customHeight="1" x14ac:dyDescent="0.3">
      <c r="E474" s="14"/>
    </row>
    <row r="475" spans="5:5" ht="15.75" customHeight="1" x14ac:dyDescent="0.3">
      <c r="E475" s="14"/>
    </row>
    <row r="476" spans="5:5" ht="15.75" customHeight="1" x14ac:dyDescent="0.3">
      <c r="E476" s="14"/>
    </row>
    <row r="477" spans="5:5" ht="15.75" customHeight="1" x14ac:dyDescent="0.3">
      <c r="E477" s="14"/>
    </row>
    <row r="478" spans="5:5" ht="15.75" customHeight="1" x14ac:dyDescent="0.3">
      <c r="E478" s="14"/>
    </row>
    <row r="479" spans="5:5" ht="15.75" customHeight="1" x14ac:dyDescent="0.3">
      <c r="E479" s="14"/>
    </row>
    <row r="480" spans="5:5" ht="15.75" customHeight="1" x14ac:dyDescent="0.3">
      <c r="E480" s="14"/>
    </row>
    <row r="481" spans="5:5" ht="15.75" customHeight="1" x14ac:dyDescent="0.3">
      <c r="E481" s="14"/>
    </row>
    <row r="482" spans="5:5" ht="15.75" customHeight="1" x14ac:dyDescent="0.3">
      <c r="E482" s="14"/>
    </row>
    <row r="483" spans="5:5" ht="15.75" customHeight="1" x14ac:dyDescent="0.3">
      <c r="E483" s="14"/>
    </row>
    <row r="484" spans="5:5" ht="15.75" customHeight="1" x14ac:dyDescent="0.3">
      <c r="E484" s="14"/>
    </row>
    <row r="485" spans="5:5" ht="15.75" customHeight="1" x14ac:dyDescent="0.3">
      <c r="E485" s="14"/>
    </row>
    <row r="486" spans="5:5" ht="15.75" customHeight="1" x14ac:dyDescent="0.3">
      <c r="E486" s="14"/>
    </row>
    <row r="487" spans="5:5" ht="15.75" customHeight="1" x14ac:dyDescent="0.3">
      <c r="E487" s="14"/>
    </row>
    <row r="488" spans="5:5" ht="15.75" customHeight="1" x14ac:dyDescent="0.3">
      <c r="E488" s="14"/>
    </row>
    <row r="489" spans="5:5" ht="15.75" customHeight="1" x14ac:dyDescent="0.3">
      <c r="E489" s="14"/>
    </row>
    <row r="490" spans="5:5" ht="15.75" customHeight="1" x14ac:dyDescent="0.3">
      <c r="E490" s="14"/>
    </row>
    <row r="491" spans="5:5" ht="15.75" customHeight="1" x14ac:dyDescent="0.3">
      <c r="E491" s="14"/>
    </row>
    <row r="492" spans="5:5" ht="15.75" customHeight="1" x14ac:dyDescent="0.3">
      <c r="E492" s="14"/>
    </row>
    <row r="493" spans="5:5" ht="15.75" customHeight="1" x14ac:dyDescent="0.3">
      <c r="E493" s="14"/>
    </row>
    <row r="494" spans="5:5" ht="15.75" customHeight="1" x14ac:dyDescent="0.3">
      <c r="E494" s="14"/>
    </row>
    <row r="495" spans="5:5" ht="15.75" customHeight="1" x14ac:dyDescent="0.3">
      <c r="E495" s="14"/>
    </row>
    <row r="496" spans="5:5" ht="15.75" customHeight="1" x14ac:dyDescent="0.3">
      <c r="E496" s="14"/>
    </row>
    <row r="497" spans="5:5" ht="15.75" customHeight="1" x14ac:dyDescent="0.3">
      <c r="E497" s="14"/>
    </row>
    <row r="498" spans="5:5" ht="15.75" customHeight="1" x14ac:dyDescent="0.3">
      <c r="E498" s="14"/>
    </row>
    <row r="499" spans="5:5" ht="15.75" customHeight="1" x14ac:dyDescent="0.3">
      <c r="E499" s="14"/>
    </row>
    <row r="500" spans="5:5" ht="15.75" customHeight="1" x14ac:dyDescent="0.3">
      <c r="E500" s="14"/>
    </row>
    <row r="501" spans="5:5" ht="15.75" customHeight="1" x14ac:dyDescent="0.3">
      <c r="E501" s="14"/>
    </row>
    <row r="502" spans="5:5" ht="15.75" customHeight="1" x14ac:dyDescent="0.3">
      <c r="E502" s="14"/>
    </row>
    <row r="503" spans="5:5" ht="15.75" customHeight="1" x14ac:dyDescent="0.3">
      <c r="E503" s="14"/>
    </row>
    <row r="504" spans="5:5" ht="15.75" customHeight="1" x14ac:dyDescent="0.3">
      <c r="E504" s="14"/>
    </row>
    <row r="505" spans="5:5" ht="15.75" customHeight="1" x14ac:dyDescent="0.3">
      <c r="E505" s="14"/>
    </row>
    <row r="506" spans="5:5" ht="15.75" customHeight="1" x14ac:dyDescent="0.3">
      <c r="E506" s="14"/>
    </row>
    <row r="507" spans="5:5" ht="15.75" customHeight="1" x14ac:dyDescent="0.3">
      <c r="E507" s="14"/>
    </row>
    <row r="508" spans="5:5" ht="15.75" customHeight="1" x14ac:dyDescent="0.3">
      <c r="E508" s="14"/>
    </row>
    <row r="509" spans="5:5" ht="15.75" customHeight="1" x14ac:dyDescent="0.3">
      <c r="E509" s="14"/>
    </row>
    <row r="510" spans="5:5" ht="15.75" customHeight="1" x14ac:dyDescent="0.3">
      <c r="E510" s="14"/>
    </row>
    <row r="511" spans="5:5" ht="15.75" customHeight="1" x14ac:dyDescent="0.3">
      <c r="E511" s="14"/>
    </row>
    <row r="512" spans="5:5" ht="15.75" customHeight="1" x14ac:dyDescent="0.3">
      <c r="E512" s="14"/>
    </row>
    <row r="513" spans="5:5" ht="15.75" customHeight="1" x14ac:dyDescent="0.3">
      <c r="E513" s="14"/>
    </row>
    <row r="514" spans="5:5" ht="15.75" customHeight="1" x14ac:dyDescent="0.3">
      <c r="E514" s="14"/>
    </row>
    <row r="515" spans="5:5" ht="15.75" customHeight="1" x14ac:dyDescent="0.3">
      <c r="E515" s="14"/>
    </row>
    <row r="516" spans="5:5" ht="15.75" customHeight="1" x14ac:dyDescent="0.3">
      <c r="E516" s="14"/>
    </row>
    <row r="517" spans="5:5" ht="15.75" customHeight="1" x14ac:dyDescent="0.3">
      <c r="E517" s="14"/>
    </row>
    <row r="518" spans="5:5" ht="15.75" customHeight="1" x14ac:dyDescent="0.3">
      <c r="E518" s="14"/>
    </row>
    <row r="519" spans="5:5" ht="15.75" customHeight="1" x14ac:dyDescent="0.3">
      <c r="E519" s="14"/>
    </row>
    <row r="520" spans="5:5" ht="15.75" customHeight="1" x14ac:dyDescent="0.3">
      <c r="E520" s="14"/>
    </row>
    <row r="521" spans="5:5" ht="15.75" customHeight="1" x14ac:dyDescent="0.3">
      <c r="E521" s="14"/>
    </row>
    <row r="522" spans="5:5" ht="15.75" customHeight="1" x14ac:dyDescent="0.3">
      <c r="E522" s="14"/>
    </row>
    <row r="523" spans="5:5" ht="15.75" customHeight="1" x14ac:dyDescent="0.3">
      <c r="E523" s="14"/>
    </row>
    <row r="524" spans="5:5" ht="15.75" customHeight="1" x14ac:dyDescent="0.3">
      <c r="E524" s="14"/>
    </row>
    <row r="525" spans="5:5" ht="15.75" customHeight="1" x14ac:dyDescent="0.3">
      <c r="E525" s="14"/>
    </row>
    <row r="526" spans="5:5" ht="15.75" customHeight="1" x14ac:dyDescent="0.3">
      <c r="E526" s="14"/>
    </row>
    <row r="527" spans="5:5" ht="15.75" customHeight="1" x14ac:dyDescent="0.3">
      <c r="E527" s="14"/>
    </row>
    <row r="528" spans="5:5" ht="15.75" customHeight="1" x14ac:dyDescent="0.3">
      <c r="E528" s="14"/>
    </row>
    <row r="529" spans="5:5" ht="15.75" customHeight="1" x14ac:dyDescent="0.3">
      <c r="E529" s="14"/>
    </row>
    <row r="530" spans="5:5" ht="15.75" customHeight="1" x14ac:dyDescent="0.3">
      <c r="E530" s="14"/>
    </row>
    <row r="531" spans="5:5" ht="15.75" customHeight="1" x14ac:dyDescent="0.3">
      <c r="E531" s="14"/>
    </row>
    <row r="532" spans="5:5" ht="15.75" customHeight="1" x14ac:dyDescent="0.3">
      <c r="E532" s="14"/>
    </row>
    <row r="533" spans="5:5" ht="15.75" customHeight="1" x14ac:dyDescent="0.3">
      <c r="E533" s="14"/>
    </row>
    <row r="534" spans="5:5" ht="15.75" customHeight="1" x14ac:dyDescent="0.3">
      <c r="E534" s="14"/>
    </row>
    <row r="535" spans="5:5" ht="15.75" customHeight="1" x14ac:dyDescent="0.3">
      <c r="E535" s="14"/>
    </row>
    <row r="536" spans="5:5" ht="15.75" customHeight="1" x14ac:dyDescent="0.3">
      <c r="E536" s="14"/>
    </row>
    <row r="537" spans="5:5" ht="15.75" customHeight="1" x14ac:dyDescent="0.3">
      <c r="E537" s="14"/>
    </row>
    <row r="538" spans="5:5" ht="15.75" customHeight="1" x14ac:dyDescent="0.3">
      <c r="E538" s="14"/>
    </row>
    <row r="539" spans="5:5" ht="15.75" customHeight="1" x14ac:dyDescent="0.3">
      <c r="E539" s="14"/>
    </row>
    <row r="540" spans="5:5" ht="15.75" customHeight="1" x14ac:dyDescent="0.3">
      <c r="E540" s="14"/>
    </row>
    <row r="541" spans="5:5" ht="15.75" customHeight="1" x14ac:dyDescent="0.3">
      <c r="E541" s="14"/>
    </row>
    <row r="542" spans="5:5" ht="15.75" customHeight="1" x14ac:dyDescent="0.3">
      <c r="E542" s="14"/>
    </row>
    <row r="543" spans="5:5" ht="15.75" customHeight="1" x14ac:dyDescent="0.3">
      <c r="E543" s="14"/>
    </row>
    <row r="544" spans="5:5" ht="15.75" customHeight="1" x14ac:dyDescent="0.3">
      <c r="E544" s="14"/>
    </row>
    <row r="545" spans="5:5" ht="15.75" customHeight="1" x14ac:dyDescent="0.3">
      <c r="E545" s="14"/>
    </row>
    <row r="546" spans="5:5" ht="15.75" customHeight="1" x14ac:dyDescent="0.3">
      <c r="E546" s="14"/>
    </row>
    <row r="547" spans="5:5" ht="15.75" customHeight="1" x14ac:dyDescent="0.3">
      <c r="E547" s="14"/>
    </row>
    <row r="548" spans="5:5" ht="15.75" customHeight="1" x14ac:dyDescent="0.3">
      <c r="E548" s="14"/>
    </row>
    <row r="549" spans="5:5" ht="15.75" customHeight="1" x14ac:dyDescent="0.3">
      <c r="E549" s="14"/>
    </row>
    <row r="550" spans="5:5" ht="15.75" customHeight="1" x14ac:dyDescent="0.3">
      <c r="E550" s="14"/>
    </row>
    <row r="551" spans="5:5" ht="15.75" customHeight="1" x14ac:dyDescent="0.3">
      <c r="E551" s="14"/>
    </row>
    <row r="552" spans="5:5" ht="15.75" customHeight="1" x14ac:dyDescent="0.3">
      <c r="E552" s="14"/>
    </row>
    <row r="553" spans="5:5" ht="15.75" customHeight="1" x14ac:dyDescent="0.3">
      <c r="E553" s="14"/>
    </row>
    <row r="554" spans="5:5" ht="15.75" customHeight="1" x14ac:dyDescent="0.3">
      <c r="E554" s="14"/>
    </row>
    <row r="555" spans="5:5" ht="15.75" customHeight="1" x14ac:dyDescent="0.3">
      <c r="E555" s="14"/>
    </row>
    <row r="556" spans="5:5" ht="15.75" customHeight="1" x14ac:dyDescent="0.3">
      <c r="E556" s="14"/>
    </row>
    <row r="557" spans="5:5" ht="15.75" customHeight="1" x14ac:dyDescent="0.3">
      <c r="E557" s="14"/>
    </row>
    <row r="558" spans="5:5" ht="15.75" customHeight="1" x14ac:dyDescent="0.3">
      <c r="E558" s="14"/>
    </row>
    <row r="559" spans="5:5" ht="15.75" customHeight="1" x14ac:dyDescent="0.3">
      <c r="E559" s="14"/>
    </row>
    <row r="560" spans="5:5" ht="15.75" customHeight="1" x14ac:dyDescent="0.3">
      <c r="E560" s="14"/>
    </row>
    <row r="561" spans="5:5" ht="15.75" customHeight="1" x14ac:dyDescent="0.3">
      <c r="E561" s="14"/>
    </row>
    <row r="562" spans="5:5" ht="15.75" customHeight="1" x14ac:dyDescent="0.3">
      <c r="E562" s="14"/>
    </row>
    <row r="563" spans="5:5" ht="15.75" customHeight="1" x14ac:dyDescent="0.3">
      <c r="E563" s="14"/>
    </row>
    <row r="564" spans="5:5" ht="15.75" customHeight="1" x14ac:dyDescent="0.3">
      <c r="E564" s="14"/>
    </row>
    <row r="565" spans="5:5" ht="15.75" customHeight="1" x14ac:dyDescent="0.3">
      <c r="E565" s="14"/>
    </row>
    <row r="566" spans="5:5" ht="15.75" customHeight="1" x14ac:dyDescent="0.3">
      <c r="E566" s="14"/>
    </row>
    <row r="567" spans="5:5" ht="15.75" customHeight="1" x14ac:dyDescent="0.3">
      <c r="E567" s="14"/>
    </row>
    <row r="568" spans="5:5" ht="15.75" customHeight="1" x14ac:dyDescent="0.3">
      <c r="E568" s="14"/>
    </row>
    <row r="569" spans="5:5" ht="15.75" customHeight="1" x14ac:dyDescent="0.3">
      <c r="E569" s="14"/>
    </row>
    <row r="570" spans="5:5" ht="15.75" customHeight="1" x14ac:dyDescent="0.3">
      <c r="E570" s="14"/>
    </row>
    <row r="571" spans="5:5" ht="15.75" customHeight="1" x14ac:dyDescent="0.3">
      <c r="E571" s="14"/>
    </row>
    <row r="572" spans="5:5" ht="15.75" customHeight="1" x14ac:dyDescent="0.3">
      <c r="E572" s="14"/>
    </row>
    <row r="573" spans="5:5" ht="15.75" customHeight="1" x14ac:dyDescent="0.3">
      <c r="E573" s="14"/>
    </row>
    <row r="574" spans="5:5" ht="15.75" customHeight="1" x14ac:dyDescent="0.3">
      <c r="E574" s="14"/>
    </row>
    <row r="575" spans="5:5" ht="15.75" customHeight="1" x14ac:dyDescent="0.3">
      <c r="E575" s="14"/>
    </row>
    <row r="576" spans="5:5" ht="15.75" customHeight="1" x14ac:dyDescent="0.3">
      <c r="E576" s="14"/>
    </row>
    <row r="577" spans="5:5" ht="15.75" customHeight="1" x14ac:dyDescent="0.3">
      <c r="E577" s="14"/>
    </row>
    <row r="578" spans="5:5" ht="15.75" customHeight="1" x14ac:dyDescent="0.3">
      <c r="E578" s="14"/>
    </row>
    <row r="579" spans="5:5" ht="15.75" customHeight="1" x14ac:dyDescent="0.3">
      <c r="E579" s="14"/>
    </row>
    <row r="580" spans="5:5" ht="15.75" customHeight="1" x14ac:dyDescent="0.3">
      <c r="E580" s="14"/>
    </row>
    <row r="581" spans="5:5" ht="15.75" customHeight="1" x14ac:dyDescent="0.3">
      <c r="E581" s="14"/>
    </row>
    <row r="582" spans="5:5" ht="15.75" customHeight="1" x14ac:dyDescent="0.3">
      <c r="E582" s="14"/>
    </row>
    <row r="583" spans="5:5" ht="15.75" customHeight="1" x14ac:dyDescent="0.3">
      <c r="E583" s="14"/>
    </row>
    <row r="584" spans="5:5" ht="15.75" customHeight="1" x14ac:dyDescent="0.3">
      <c r="E584" s="14"/>
    </row>
    <row r="585" spans="5:5" ht="15.75" customHeight="1" x14ac:dyDescent="0.3">
      <c r="E585" s="14"/>
    </row>
    <row r="586" spans="5:5" ht="15.75" customHeight="1" x14ac:dyDescent="0.3">
      <c r="E586" s="14"/>
    </row>
    <row r="587" spans="5:5" ht="15.75" customHeight="1" x14ac:dyDescent="0.3">
      <c r="E587" s="14"/>
    </row>
    <row r="588" spans="5:5" ht="15.75" customHeight="1" x14ac:dyDescent="0.3">
      <c r="E588" s="14"/>
    </row>
    <row r="589" spans="5:5" ht="15.75" customHeight="1" x14ac:dyDescent="0.3">
      <c r="E589" s="14"/>
    </row>
    <row r="590" spans="5:5" ht="15.75" customHeight="1" x14ac:dyDescent="0.3">
      <c r="E590" s="14"/>
    </row>
    <row r="591" spans="5:5" ht="15.75" customHeight="1" x14ac:dyDescent="0.3">
      <c r="E591" s="14"/>
    </row>
    <row r="592" spans="5:5" ht="15.75" customHeight="1" x14ac:dyDescent="0.3">
      <c r="E592" s="14"/>
    </row>
    <row r="593" spans="5:5" ht="15.75" customHeight="1" x14ac:dyDescent="0.3">
      <c r="E593" s="14"/>
    </row>
    <row r="594" spans="5:5" ht="15.75" customHeight="1" x14ac:dyDescent="0.3">
      <c r="E594" s="14"/>
    </row>
    <row r="595" spans="5:5" ht="15.75" customHeight="1" x14ac:dyDescent="0.3">
      <c r="E595" s="14"/>
    </row>
    <row r="596" spans="5:5" ht="15.75" customHeight="1" x14ac:dyDescent="0.3">
      <c r="E596" s="14"/>
    </row>
    <row r="597" spans="5:5" ht="15.75" customHeight="1" x14ac:dyDescent="0.3">
      <c r="E597" s="14"/>
    </row>
    <row r="598" spans="5:5" ht="15.75" customHeight="1" x14ac:dyDescent="0.3">
      <c r="E598" s="14"/>
    </row>
    <row r="599" spans="5:5" ht="15.75" customHeight="1" x14ac:dyDescent="0.3">
      <c r="E599" s="14"/>
    </row>
    <row r="600" spans="5:5" ht="15.75" customHeight="1" x14ac:dyDescent="0.3">
      <c r="E600" s="14"/>
    </row>
    <row r="601" spans="5:5" ht="15.75" customHeight="1" x14ac:dyDescent="0.3">
      <c r="E601" s="14"/>
    </row>
    <row r="602" spans="5:5" ht="15.75" customHeight="1" x14ac:dyDescent="0.3">
      <c r="E602" s="14"/>
    </row>
    <row r="603" spans="5:5" ht="15.75" customHeight="1" x14ac:dyDescent="0.3">
      <c r="E603" s="14"/>
    </row>
    <row r="604" spans="5:5" ht="15.75" customHeight="1" x14ac:dyDescent="0.3">
      <c r="E604" s="14"/>
    </row>
    <row r="605" spans="5:5" ht="15.75" customHeight="1" x14ac:dyDescent="0.3">
      <c r="E605" s="14"/>
    </row>
    <row r="606" spans="5:5" ht="15.75" customHeight="1" x14ac:dyDescent="0.3">
      <c r="E606" s="14"/>
    </row>
    <row r="607" spans="5:5" ht="15.75" customHeight="1" x14ac:dyDescent="0.3">
      <c r="E607" s="14"/>
    </row>
    <row r="608" spans="5:5" ht="15.75" customHeight="1" x14ac:dyDescent="0.3">
      <c r="E608" s="14"/>
    </row>
    <row r="609" spans="5:5" ht="15.75" customHeight="1" x14ac:dyDescent="0.3">
      <c r="E609" s="14"/>
    </row>
    <row r="610" spans="5:5" ht="15.75" customHeight="1" x14ac:dyDescent="0.3">
      <c r="E610" s="14"/>
    </row>
    <row r="611" spans="5:5" ht="15.75" customHeight="1" x14ac:dyDescent="0.3">
      <c r="E611" s="14"/>
    </row>
    <row r="612" spans="5:5" ht="15.75" customHeight="1" x14ac:dyDescent="0.3">
      <c r="E612" s="14"/>
    </row>
    <row r="613" spans="5:5" ht="15.75" customHeight="1" x14ac:dyDescent="0.3">
      <c r="E613" s="14"/>
    </row>
    <row r="614" spans="5:5" ht="15.75" customHeight="1" x14ac:dyDescent="0.3">
      <c r="E614" s="14"/>
    </row>
    <row r="615" spans="5:5" ht="15.75" customHeight="1" x14ac:dyDescent="0.3">
      <c r="E615" s="14"/>
    </row>
    <row r="616" spans="5:5" ht="15.75" customHeight="1" x14ac:dyDescent="0.3">
      <c r="E616" s="14"/>
    </row>
    <row r="617" spans="5:5" ht="15.75" customHeight="1" x14ac:dyDescent="0.3">
      <c r="E617" s="14"/>
    </row>
    <row r="618" spans="5:5" ht="15.75" customHeight="1" x14ac:dyDescent="0.3">
      <c r="E618" s="14"/>
    </row>
    <row r="619" spans="5:5" ht="15.75" customHeight="1" x14ac:dyDescent="0.3">
      <c r="E619" s="14"/>
    </row>
    <row r="620" spans="5:5" ht="15.75" customHeight="1" x14ac:dyDescent="0.3">
      <c r="E620" s="14"/>
    </row>
    <row r="621" spans="5:5" ht="15.75" customHeight="1" x14ac:dyDescent="0.3">
      <c r="E621" s="14"/>
    </row>
    <row r="622" spans="5:5" ht="15.75" customHeight="1" x14ac:dyDescent="0.3">
      <c r="E622" s="14"/>
    </row>
    <row r="623" spans="5:5" ht="15.75" customHeight="1" x14ac:dyDescent="0.3">
      <c r="E623" s="14"/>
    </row>
    <row r="624" spans="5:5" ht="15.75" customHeight="1" x14ac:dyDescent="0.3">
      <c r="E624" s="14"/>
    </row>
    <row r="625" spans="5:5" ht="15.75" customHeight="1" x14ac:dyDescent="0.3">
      <c r="E625" s="14"/>
    </row>
    <row r="626" spans="5:5" ht="15.75" customHeight="1" x14ac:dyDescent="0.3">
      <c r="E626" s="14"/>
    </row>
    <row r="627" spans="5:5" ht="15.75" customHeight="1" x14ac:dyDescent="0.3">
      <c r="E627" s="14"/>
    </row>
    <row r="628" spans="5:5" ht="15.75" customHeight="1" x14ac:dyDescent="0.3">
      <c r="E628" s="14"/>
    </row>
    <row r="629" spans="5:5" ht="15.75" customHeight="1" x14ac:dyDescent="0.3">
      <c r="E629" s="14"/>
    </row>
    <row r="630" spans="5:5" ht="15.75" customHeight="1" x14ac:dyDescent="0.3">
      <c r="E630" s="14"/>
    </row>
    <row r="631" spans="5:5" ht="15.75" customHeight="1" x14ac:dyDescent="0.3">
      <c r="E631" s="14"/>
    </row>
    <row r="632" spans="5:5" ht="15.75" customHeight="1" x14ac:dyDescent="0.3">
      <c r="E632" s="14"/>
    </row>
    <row r="633" spans="5:5" ht="15.75" customHeight="1" x14ac:dyDescent="0.3">
      <c r="E633" s="14"/>
    </row>
    <row r="634" spans="5:5" ht="15.75" customHeight="1" x14ac:dyDescent="0.3">
      <c r="E634" s="14"/>
    </row>
    <row r="635" spans="5:5" ht="15.75" customHeight="1" x14ac:dyDescent="0.3">
      <c r="E635" s="14"/>
    </row>
    <row r="636" spans="5:5" ht="15.75" customHeight="1" x14ac:dyDescent="0.3">
      <c r="E636" s="14"/>
    </row>
    <row r="637" spans="5:5" ht="15.75" customHeight="1" x14ac:dyDescent="0.3">
      <c r="E637" s="14"/>
    </row>
    <row r="638" spans="5:5" ht="15.75" customHeight="1" x14ac:dyDescent="0.3">
      <c r="E638" s="14"/>
    </row>
    <row r="639" spans="5:5" ht="15.75" customHeight="1" x14ac:dyDescent="0.3">
      <c r="E639" s="14"/>
    </row>
    <row r="640" spans="5:5" ht="15.75" customHeight="1" x14ac:dyDescent="0.3">
      <c r="E640" s="14"/>
    </row>
    <row r="641" spans="5:5" ht="15.75" customHeight="1" x14ac:dyDescent="0.3">
      <c r="E641" s="14"/>
    </row>
    <row r="642" spans="5:5" ht="15.75" customHeight="1" x14ac:dyDescent="0.3">
      <c r="E642" s="14"/>
    </row>
    <row r="643" spans="5:5" ht="15.75" customHeight="1" x14ac:dyDescent="0.3">
      <c r="E643" s="14"/>
    </row>
    <row r="644" spans="5:5" ht="15.75" customHeight="1" x14ac:dyDescent="0.3">
      <c r="E644" s="14"/>
    </row>
    <row r="645" spans="5:5" ht="15.75" customHeight="1" x14ac:dyDescent="0.3">
      <c r="E645" s="14"/>
    </row>
    <row r="646" spans="5:5" ht="15.75" customHeight="1" x14ac:dyDescent="0.3">
      <c r="E646" s="14"/>
    </row>
    <row r="647" spans="5:5" ht="15.75" customHeight="1" x14ac:dyDescent="0.3">
      <c r="E647" s="14"/>
    </row>
    <row r="648" spans="5:5" ht="15.75" customHeight="1" x14ac:dyDescent="0.3">
      <c r="E648" s="14"/>
    </row>
    <row r="649" spans="5:5" ht="15.75" customHeight="1" x14ac:dyDescent="0.3">
      <c r="E649" s="14"/>
    </row>
    <row r="650" spans="5:5" ht="15.75" customHeight="1" x14ac:dyDescent="0.3">
      <c r="E650" s="14"/>
    </row>
    <row r="651" spans="5:5" ht="15.75" customHeight="1" x14ac:dyDescent="0.3">
      <c r="E651" s="14"/>
    </row>
    <row r="652" spans="5:5" ht="15.75" customHeight="1" x14ac:dyDescent="0.3">
      <c r="E652" s="14"/>
    </row>
    <row r="653" spans="5:5" ht="15.75" customHeight="1" x14ac:dyDescent="0.3">
      <c r="E653" s="14"/>
    </row>
    <row r="654" spans="5:5" ht="15.75" customHeight="1" x14ac:dyDescent="0.3">
      <c r="E654" s="14"/>
    </row>
    <row r="655" spans="5:5" ht="15.75" customHeight="1" x14ac:dyDescent="0.3">
      <c r="E655" s="14"/>
    </row>
    <row r="656" spans="5:5" ht="15.75" customHeight="1" x14ac:dyDescent="0.3">
      <c r="E656" s="14"/>
    </row>
    <row r="657" spans="5:5" ht="15.75" customHeight="1" x14ac:dyDescent="0.3">
      <c r="E657" s="14"/>
    </row>
    <row r="658" spans="5:5" ht="15.75" customHeight="1" x14ac:dyDescent="0.3">
      <c r="E658" s="14"/>
    </row>
    <row r="659" spans="5:5" ht="15.75" customHeight="1" x14ac:dyDescent="0.3">
      <c r="E659" s="14"/>
    </row>
    <row r="660" spans="5:5" ht="15.75" customHeight="1" x14ac:dyDescent="0.3">
      <c r="E660" s="14"/>
    </row>
    <row r="661" spans="5:5" ht="15.75" customHeight="1" x14ac:dyDescent="0.3">
      <c r="E661" s="14"/>
    </row>
    <row r="662" spans="5:5" ht="15.75" customHeight="1" x14ac:dyDescent="0.3">
      <c r="E662" s="14"/>
    </row>
    <row r="663" spans="5:5" ht="15.75" customHeight="1" x14ac:dyDescent="0.3">
      <c r="E663" s="14"/>
    </row>
    <row r="664" spans="5:5" ht="15.75" customHeight="1" x14ac:dyDescent="0.3">
      <c r="E664" s="14"/>
    </row>
    <row r="665" spans="5:5" ht="15.75" customHeight="1" x14ac:dyDescent="0.3">
      <c r="E665" s="14"/>
    </row>
    <row r="666" spans="5:5" ht="15.75" customHeight="1" x14ac:dyDescent="0.3">
      <c r="E666" s="14"/>
    </row>
    <row r="667" spans="5:5" ht="15.75" customHeight="1" x14ac:dyDescent="0.3">
      <c r="E667" s="14"/>
    </row>
    <row r="668" spans="5:5" ht="15.75" customHeight="1" x14ac:dyDescent="0.3">
      <c r="E668" s="14"/>
    </row>
    <row r="669" spans="5:5" ht="15.75" customHeight="1" x14ac:dyDescent="0.3">
      <c r="E669" s="14"/>
    </row>
    <row r="670" spans="5:5" ht="15.75" customHeight="1" x14ac:dyDescent="0.3">
      <c r="E670" s="14"/>
    </row>
    <row r="671" spans="5:5" ht="15.75" customHeight="1" x14ac:dyDescent="0.3">
      <c r="E671" s="14"/>
    </row>
    <row r="672" spans="5:5" ht="15.75" customHeight="1" x14ac:dyDescent="0.3">
      <c r="E672" s="14"/>
    </row>
    <row r="673" spans="5:5" ht="15.75" customHeight="1" x14ac:dyDescent="0.3">
      <c r="E673" s="14"/>
    </row>
    <row r="674" spans="5:5" ht="15.75" customHeight="1" x14ac:dyDescent="0.3">
      <c r="E674" s="14"/>
    </row>
    <row r="675" spans="5:5" ht="15.75" customHeight="1" x14ac:dyDescent="0.3">
      <c r="E675" s="14"/>
    </row>
    <row r="676" spans="5:5" ht="15.75" customHeight="1" x14ac:dyDescent="0.3">
      <c r="E676" s="14"/>
    </row>
    <row r="677" spans="5:5" ht="15.75" customHeight="1" x14ac:dyDescent="0.3">
      <c r="E677" s="14"/>
    </row>
    <row r="678" spans="5:5" ht="15.75" customHeight="1" x14ac:dyDescent="0.3">
      <c r="E678" s="14"/>
    </row>
    <row r="679" spans="5:5" ht="15.75" customHeight="1" x14ac:dyDescent="0.3">
      <c r="E679" s="14"/>
    </row>
    <row r="680" spans="5:5" ht="15.75" customHeight="1" x14ac:dyDescent="0.3">
      <c r="E680" s="14"/>
    </row>
    <row r="681" spans="5:5" ht="15.75" customHeight="1" x14ac:dyDescent="0.3">
      <c r="E681" s="14"/>
    </row>
    <row r="682" spans="5:5" ht="15.75" customHeight="1" x14ac:dyDescent="0.3">
      <c r="E682" s="14"/>
    </row>
    <row r="683" spans="5:5" ht="15.75" customHeight="1" x14ac:dyDescent="0.3">
      <c r="E683" s="14"/>
    </row>
    <row r="684" spans="5:5" ht="15.75" customHeight="1" x14ac:dyDescent="0.3">
      <c r="E684" s="14"/>
    </row>
    <row r="685" spans="5:5" ht="15.75" customHeight="1" x14ac:dyDescent="0.3">
      <c r="E685" s="14"/>
    </row>
    <row r="686" spans="5:5" ht="15.75" customHeight="1" x14ac:dyDescent="0.3">
      <c r="E686" s="14"/>
    </row>
    <row r="687" spans="5:5" ht="15.75" customHeight="1" x14ac:dyDescent="0.3">
      <c r="E687" s="14"/>
    </row>
    <row r="688" spans="5:5" ht="15.75" customHeight="1" x14ac:dyDescent="0.3">
      <c r="E688" s="14"/>
    </row>
    <row r="689" spans="5:5" ht="15.75" customHeight="1" x14ac:dyDescent="0.3">
      <c r="E689" s="14"/>
    </row>
    <row r="690" spans="5:5" ht="15.75" customHeight="1" x14ac:dyDescent="0.3">
      <c r="E690" s="14"/>
    </row>
    <row r="691" spans="5:5" ht="15.75" customHeight="1" x14ac:dyDescent="0.3">
      <c r="E691" s="14"/>
    </row>
    <row r="692" spans="5:5" ht="15.75" customHeight="1" x14ac:dyDescent="0.3">
      <c r="E692" s="14"/>
    </row>
    <row r="693" spans="5:5" ht="15.75" customHeight="1" x14ac:dyDescent="0.3">
      <c r="E693" s="14"/>
    </row>
    <row r="694" spans="5:5" ht="15.75" customHeight="1" x14ac:dyDescent="0.3">
      <c r="E694" s="14"/>
    </row>
    <row r="695" spans="5:5" ht="15.75" customHeight="1" x14ac:dyDescent="0.3">
      <c r="E695" s="14"/>
    </row>
    <row r="696" spans="5:5" ht="15.75" customHeight="1" x14ac:dyDescent="0.3">
      <c r="E696" s="14"/>
    </row>
    <row r="697" spans="5:5" ht="15.75" customHeight="1" x14ac:dyDescent="0.3">
      <c r="E697" s="14"/>
    </row>
    <row r="698" spans="5:5" ht="15.75" customHeight="1" x14ac:dyDescent="0.3">
      <c r="E698" s="14"/>
    </row>
    <row r="699" spans="5:5" ht="15.75" customHeight="1" x14ac:dyDescent="0.3">
      <c r="E699" s="14"/>
    </row>
    <row r="700" spans="5:5" ht="15.75" customHeight="1" x14ac:dyDescent="0.3">
      <c r="E700" s="14"/>
    </row>
    <row r="701" spans="5:5" ht="15.75" customHeight="1" x14ac:dyDescent="0.3">
      <c r="E701" s="14"/>
    </row>
    <row r="702" spans="5:5" ht="15.75" customHeight="1" x14ac:dyDescent="0.3">
      <c r="E702" s="14"/>
    </row>
    <row r="703" spans="5:5" ht="15.75" customHeight="1" x14ac:dyDescent="0.3">
      <c r="E703" s="14"/>
    </row>
    <row r="704" spans="5:5" ht="15.75" customHeight="1" x14ac:dyDescent="0.3">
      <c r="E704" s="14"/>
    </row>
    <row r="705" spans="5:5" ht="15.75" customHeight="1" x14ac:dyDescent="0.3">
      <c r="E705" s="14"/>
    </row>
    <row r="706" spans="5:5" ht="15.75" customHeight="1" x14ac:dyDescent="0.3">
      <c r="E706" s="14"/>
    </row>
    <row r="707" spans="5:5" ht="15.75" customHeight="1" x14ac:dyDescent="0.3">
      <c r="E707" s="14"/>
    </row>
    <row r="708" spans="5:5" ht="15.75" customHeight="1" x14ac:dyDescent="0.3">
      <c r="E708" s="14"/>
    </row>
    <row r="709" spans="5:5" ht="15.75" customHeight="1" x14ac:dyDescent="0.3">
      <c r="E709" s="14"/>
    </row>
    <row r="710" spans="5:5" ht="15.75" customHeight="1" x14ac:dyDescent="0.3">
      <c r="E710" s="14"/>
    </row>
    <row r="711" spans="5:5" ht="15.75" customHeight="1" x14ac:dyDescent="0.3">
      <c r="E711" s="14"/>
    </row>
    <row r="712" spans="5:5" ht="15.75" customHeight="1" x14ac:dyDescent="0.3">
      <c r="E712" s="14"/>
    </row>
    <row r="713" spans="5:5" ht="15.75" customHeight="1" x14ac:dyDescent="0.3">
      <c r="E713" s="14"/>
    </row>
    <row r="714" spans="5:5" ht="15.75" customHeight="1" x14ac:dyDescent="0.3">
      <c r="E714" s="14"/>
    </row>
    <row r="715" spans="5:5" ht="15.75" customHeight="1" x14ac:dyDescent="0.3">
      <c r="E715" s="14"/>
    </row>
    <row r="716" spans="5:5" ht="15.75" customHeight="1" x14ac:dyDescent="0.3">
      <c r="E716" s="14"/>
    </row>
    <row r="717" spans="5:5" ht="15.75" customHeight="1" x14ac:dyDescent="0.3">
      <c r="E717" s="14"/>
    </row>
    <row r="718" spans="5:5" ht="15.75" customHeight="1" x14ac:dyDescent="0.3">
      <c r="E718" s="14"/>
    </row>
    <row r="719" spans="5:5" ht="15.75" customHeight="1" x14ac:dyDescent="0.3">
      <c r="E719" s="14"/>
    </row>
    <row r="720" spans="5:5" ht="15.75" customHeight="1" x14ac:dyDescent="0.3">
      <c r="E720" s="14"/>
    </row>
    <row r="721" spans="5:5" ht="15.75" customHeight="1" x14ac:dyDescent="0.3">
      <c r="E721" s="14"/>
    </row>
    <row r="722" spans="5:5" ht="15.75" customHeight="1" x14ac:dyDescent="0.3">
      <c r="E722" s="14"/>
    </row>
    <row r="723" spans="5:5" ht="15.75" customHeight="1" x14ac:dyDescent="0.3">
      <c r="E723" s="14"/>
    </row>
    <row r="724" spans="5:5" ht="15.75" customHeight="1" x14ac:dyDescent="0.3">
      <c r="E724" s="14"/>
    </row>
    <row r="725" spans="5:5" ht="15.75" customHeight="1" x14ac:dyDescent="0.3">
      <c r="E725" s="14"/>
    </row>
    <row r="726" spans="5:5" ht="15.75" customHeight="1" x14ac:dyDescent="0.3">
      <c r="E726" s="14"/>
    </row>
    <row r="727" spans="5:5" ht="15.75" customHeight="1" x14ac:dyDescent="0.3">
      <c r="E727" s="14"/>
    </row>
    <row r="728" spans="5:5" ht="15.75" customHeight="1" x14ac:dyDescent="0.3">
      <c r="E728" s="14"/>
    </row>
    <row r="729" spans="5:5" ht="15.75" customHeight="1" x14ac:dyDescent="0.3">
      <c r="E729" s="14"/>
    </row>
    <row r="730" spans="5:5" ht="15.75" customHeight="1" x14ac:dyDescent="0.3">
      <c r="E730" s="14"/>
    </row>
    <row r="731" spans="5:5" ht="15.75" customHeight="1" x14ac:dyDescent="0.3">
      <c r="E731" s="14"/>
    </row>
    <row r="732" spans="5:5" ht="15.75" customHeight="1" x14ac:dyDescent="0.3">
      <c r="E732" s="14"/>
    </row>
    <row r="733" spans="5:5" ht="15.75" customHeight="1" x14ac:dyDescent="0.3">
      <c r="E733" s="14"/>
    </row>
    <row r="734" spans="5:5" ht="15.75" customHeight="1" x14ac:dyDescent="0.3">
      <c r="E734" s="14"/>
    </row>
    <row r="735" spans="5:5" ht="15.75" customHeight="1" x14ac:dyDescent="0.3">
      <c r="E735" s="14"/>
    </row>
    <row r="736" spans="5:5" ht="15.75" customHeight="1" x14ac:dyDescent="0.3">
      <c r="E736" s="14"/>
    </row>
    <row r="737" spans="5:5" ht="15.75" customHeight="1" x14ac:dyDescent="0.3">
      <c r="E737" s="14"/>
    </row>
    <row r="738" spans="5:5" ht="15.75" customHeight="1" x14ac:dyDescent="0.3">
      <c r="E738" s="14"/>
    </row>
    <row r="739" spans="5:5" ht="15.75" customHeight="1" x14ac:dyDescent="0.3">
      <c r="E739" s="14"/>
    </row>
    <row r="740" spans="5:5" ht="15.75" customHeight="1" x14ac:dyDescent="0.3">
      <c r="E740" s="14"/>
    </row>
    <row r="741" spans="5:5" ht="15.75" customHeight="1" x14ac:dyDescent="0.3">
      <c r="E741" s="14"/>
    </row>
    <row r="742" spans="5:5" ht="15.75" customHeight="1" x14ac:dyDescent="0.3">
      <c r="E742" s="14"/>
    </row>
    <row r="743" spans="5:5" ht="15.75" customHeight="1" x14ac:dyDescent="0.3">
      <c r="E743" s="14"/>
    </row>
    <row r="744" spans="5:5" ht="15.75" customHeight="1" x14ac:dyDescent="0.3">
      <c r="E744" s="14"/>
    </row>
    <row r="745" spans="5:5" ht="15.75" customHeight="1" x14ac:dyDescent="0.3">
      <c r="E745" s="14"/>
    </row>
    <row r="746" spans="5:5" ht="15.75" customHeight="1" x14ac:dyDescent="0.3">
      <c r="E746" s="14"/>
    </row>
    <row r="747" spans="5:5" ht="15.75" customHeight="1" x14ac:dyDescent="0.3">
      <c r="E747" s="14"/>
    </row>
    <row r="748" spans="5:5" ht="15.75" customHeight="1" x14ac:dyDescent="0.3">
      <c r="E748" s="14"/>
    </row>
    <row r="749" spans="5:5" ht="15.75" customHeight="1" x14ac:dyDescent="0.3">
      <c r="E749" s="14"/>
    </row>
    <row r="750" spans="5:5" ht="15.75" customHeight="1" x14ac:dyDescent="0.3">
      <c r="E750" s="14"/>
    </row>
    <row r="751" spans="5:5" ht="15.75" customHeight="1" x14ac:dyDescent="0.3">
      <c r="E751" s="14"/>
    </row>
    <row r="752" spans="5:5" ht="15.75" customHeight="1" x14ac:dyDescent="0.3">
      <c r="E752" s="14"/>
    </row>
    <row r="753" spans="5:5" ht="15.75" customHeight="1" x14ac:dyDescent="0.3">
      <c r="E753" s="14"/>
    </row>
    <row r="754" spans="5:5" ht="15.75" customHeight="1" x14ac:dyDescent="0.3">
      <c r="E754" s="14"/>
    </row>
    <row r="755" spans="5:5" ht="15.75" customHeight="1" x14ac:dyDescent="0.3">
      <c r="E755" s="14"/>
    </row>
    <row r="756" spans="5:5" ht="15.75" customHeight="1" x14ac:dyDescent="0.3">
      <c r="E756" s="14"/>
    </row>
    <row r="757" spans="5:5" ht="15.75" customHeight="1" x14ac:dyDescent="0.3">
      <c r="E757" s="14"/>
    </row>
    <row r="758" spans="5:5" ht="15.75" customHeight="1" x14ac:dyDescent="0.3">
      <c r="E758" s="14"/>
    </row>
    <row r="759" spans="5:5" ht="15.75" customHeight="1" x14ac:dyDescent="0.3">
      <c r="E759" s="14"/>
    </row>
    <row r="760" spans="5:5" ht="15.75" customHeight="1" x14ac:dyDescent="0.3">
      <c r="E760" s="14"/>
    </row>
    <row r="761" spans="5:5" ht="15.75" customHeight="1" x14ac:dyDescent="0.3">
      <c r="E761" s="14"/>
    </row>
    <row r="762" spans="5:5" ht="15.75" customHeight="1" x14ac:dyDescent="0.3">
      <c r="E762" s="14"/>
    </row>
    <row r="763" spans="5:5" ht="15.75" customHeight="1" x14ac:dyDescent="0.3">
      <c r="E763" s="14"/>
    </row>
    <row r="764" spans="5:5" ht="15.75" customHeight="1" x14ac:dyDescent="0.3">
      <c r="E764" s="14"/>
    </row>
    <row r="765" spans="5:5" ht="15.75" customHeight="1" x14ac:dyDescent="0.3">
      <c r="E765" s="14"/>
    </row>
    <row r="766" spans="5:5" ht="15.75" customHeight="1" x14ac:dyDescent="0.3">
      <c r="E766" s="14"/>
    </row>
    <row r="767" spans="5:5" ht="15.75" customHeight="1" x14ac:dyDescent="0.3">
      <c r="E767" s="14"/>
    </row>
    <row r="768" spans="5:5" ht="15.75" customHeight="1" x14ac:dyDescent="0.3">
      <c r="E768" s="14"/>
    </row>
    <row r="769" spans="5:5" ht="15.75" customHeight="1" x14ac:dyDescent="0.3">
      <c r="E769" s="14"/>
    </row>
    <row r="770" spans="5:5" ht="15.75" customHeight="1" x14ac:dyDescent="0.3">
      <c r="E770" s="14"/>
    </row>
    <row r="771" spans="5:5" ht="15.75" customHeight="1" x14ac:dyDescent="0.3">
      <c r="E771" s="14"/>
    </row>
    <row r="772" spans="5:5" ht="15.75" customHeight="1" x14ac:dyDescent="0.3">
      <c r="E772" s="14"/>
    </row>
    <row r="773" spans="5:5" ht="15.75" customHeight="1" x14ac:dyDescent="0.3">
      <c r="E773" s="14"/>
    </row>
    <row r="774" spans="5:5" ht="15.75" customHeight="1" x14ac:dyDescent="0.3">
      <c r="E774" s="14"/>
    </row>
    <row r="775" spans="5:5" ht="15.75" customHeight="1" x14ac:dyDescent="0.3">
      <c r="E775" s="14"/>
    </row>
    <row r="776" spans="5:5" ht="15.75" customHeight="1" x14ac:dyDescent="0.3">
      <c r="E776" s="14"/>
    </row>
    <row r="777" spans="5:5" ht="15.75" customHeight="1" x14ac:dyDescent="0.3">
      <c r="E777" s="14"/>
    </row>
    <row r="778" spans="5:5" ht="15.75" customHeight="1" x14ac:dyDescent="0.3">
      <c r="E778" s="14"/>
    </row>
    <row r="779" spans="5:5" ht="15.75" customHeight="1" x14ac:dyDescent="0.3">
      <c r="E779" s="14"/>
    </row>
    <row r="780" spans="5:5" ht="15.75" customHeight="1" x14ac:dyDescent="0.3">
      <c r="E780" s="14"/>
    </row>
    <row r="781" spans="5:5" ht="15.75" customHeight="1" x14ac:dyDescent="0.3">
      <c r="E781" s="14"/>
    </row>
    <row r="782" spans="5:5" ht="15.75" customHeight="1" x14ac:dyDescent="0.3">
      <c r="E782" s="14"/>
    </row>
    <row r="783" spans="5:5" ht="15.75" customHeight="1" x14ac:dyDescent="0.3">
      <c r="E783" s="14"/>
    </row>
    <row r="784" spans="5:5" ht="15.75" customHeight="1" x14ac:dyDescent="0.3">
      <c r="E784" s="14"/>
    </row>
    <row r="785" spans="5:5" ht="15.75" customHeight="1" x14ac:dyDescent="0.3">
      <c r="E785" s="14"/>
    </row>
    <row r="786" spans="5:5" ht="15.75" customHeight="1" x14ac:dyDescent="0.3">
      <c r="E786" s="14"/>
    </row>
    <row r="787" spans="5:5" ht="15.75" customHeight="1" x14ac:dyDescent="0.3">
      <c r="E787" s="14"/>
    </row>
    <row r="788" spans="5:5" ht="15.75" customHeight="1" x14ac:dyDescent="0.3">
      <c r="E788" s="14"/>
    </row>
    <row r="789" spans="5:5" ht="15.75" customHeight="1" x14ac:dyDescent="0.3">
      <c r="E789" s="14"/>
    </row>
    <row r="790" spans="5:5" ht="15.75" customHeight="1" x14ac:dyDescent="0.3">
      <c r="E790" s="14"/>
    </row>
    <row r="791" spans="5:5" ht="15.75" customHeight="1" x14ac:dyDescent="0.3">
      <c r="E791" s="14"/>
    </row>
    <row r="792" spans="5:5" ht="15.75" customHeight="1" x14ac:dyDescent="0.3">
      <c r="E792" s="14"/>
    </row>
    <row r="793" spans="5:5" ht="15.75" customHeight="1" x14ac:dyDescent="0.3">
      <c r="E793" s="14"/>
    </row>
    <row r="794" spans="5:5" ht="15.75" customHeight="1" x14ac:dyDescent="0.3">
      <c r="E794" s="14"/>
    </row>
    <row r="795" spans="5:5" ht="15.75" customHeight="1" x14ac:dyDescent="0.3">
      <c r="E795" s="14"/>
    </row>
    <row r="796" spans="5:5" ht="15.75" customHeight="1" x14ac:dyDescent="0.3">
      <c r="E796" s="14"/>
    </row>
    <row r="797" spans="5:5" ht="15.75" customHeight="1" x14ac:dyDescent="0.3">
      <c r="E797" s="14"/>
    </row>
    <row r="798" spans="5:5" ht="15.75" customHeight="1" x14ac:dyDescent="0.3">
      <c r="E798" s="14"/>
    </row>
    <row r="799" spans="5:5" ht="15.75" customHeight="1" x14ac:dyDescent="0.3">
      <c r="E799" s="14"/>
    </row>
    <row r="800" spans="5:5" ht="15.75" customHeight="1" x14ac:dyDescent="0.3">
      <c r="E800" s="14"/>
    </row>
    <row r="801" spans="5:5" ht="15.75" customHeight="1" x14ac:dyDescent="0.3">
      <c r="E801" s="14"/>
    </row>
    <row r="802" spans="5:5" ht="15.75" customHeight="1" x14ac:dyDescent="0.3">
      <c r="E802" s="14"/>
    </row>
    <row r="803" spans="5:5" ht="15.75" customHeight="1" x14ac:dyDescent="0.3">
      <c r="E803" s="14"/>
    </row>
    <row r="804" spans="5:5" ht="15.75" customHeight="1" x14ac:dyDescent="0.3">
      <c r="E804" s="14"/>
    </row>
    <row r="805" spans="5:5" ht="15.75" customHeight="1" x14ac:dyDescent="0.3">
      <c r="E805" s="14"/>
    </row>
    <row r="806" spans="5:5" ht="15.75" customHeight="1" x14ac:dyDescent="0.3">
      <c r="E806" s="14"/>
    </row>
    <row r="807" spans="5:5" ht="15.75" customHeight="1" x14ac:dyDescent="0.3">
      <c r="E807" s="14"/>
    </row>
    <row r="808" spans="5:5" ht="15.75" customHeight="1" x14ac:dyDescent="0.3">
      <c r="E808" s="14"/>
    </row>
    <row r="809" spans="5:5" ht="15.75" customHeight="1" x14ac:dyDescent="0.3">
      <c r="E809" s="14"/>
    </row>
    <row r="810" spans="5:5" ht="15.75" customHeight="1" x14ac:dyDescent="0.3">
      <c r="E810" s="14"/>
    </row>
    <row r="811" spans="5:5" ht="15.75" customHeight="1" x14ac:dyDescent="0.3">
      <c r="E811" s="14"/>
    </row>
    <row r="812" spans="5:5" ht="15.75" customHeight="1" x14ac:dyDescent="0.3">
      <c r="E812" s="14"/>
    </row>
    <row r="813" spans="5:5" ht="15.75" customHeight="1" x14ac:dyDescent="0.3">
      <c r="E813" s="14"/>
    </row>
    <row r="814" spans="5:5" ht="15.75" customHeight="1" x14ac:dyDescent="0.3">
      <c r="E814" s="14"/>
    </row>
    <row r="815" spans="5:5" ht="15.75" customHeight="1" x14ac:dyDescent="0.3">
      <c r="E815" s="14"/>
    </row>
    <row r="816" spans="5:5" ht="15.75" customHeight="1" x14ac:dyDescent="0.3">
      <c r="E816" s="14"/>
    </row>
    <row r="817" spans="5:5" ht="15.75" customHeight="1" x14ac:dyDescent="0.3">
      <c r="E817" s="14"/>
    </row>
    <row r="818" spans="5:5" ht="15.75" customHeight="1" x14ac:dyDescent="0.3">
      <c r="E818" s="14"/>
    </row>
    <row r="819" spans="5:5" ht="15.75" customHeight="1" x14ac:dyDescent="0.3">
      <c r="E819" s="14"/>
    </row>
    <row r="820" spans="5:5" ht="15.75" customHeight="1" x14ac:dyDescent="0.3">
      <c r="E820" s="14"/>
    </row>
    <row r="821" spans="5:5" ht="15.75" customHeight="1" x14ac:dyDescent="0.3">
      <c r="E821" s="14"/>
    </row>
    <row r="822" spans="5:5" ht="15.75" customHeight="1" x14ac:dyDescent="0.3">
      <c r="E822" s="14"/>
    </row>
    <row r="823" spans="5:5" ht="15.75" customHeight="1" x14ac:dyDescent="0.3">
      <c r="E823" s="14"/>
    </row>
    <row r="824" spans="5:5" ht="15.75" customHeight="1" x14ac:dyDescent="0.3">
      <c r="E824" s="14"/>
    </row>
    <row r="825" spans="5:5" ht="15.75" customHeight="1" x14ac:dyDescent="0.3">
      <c r="E825" s="14"/>
    </row>
    <row r="826" spans="5:5" ht="15.75" customHeight="1" x14ac:dyDescent="0.3">
      <c r="E826" s="14"/>
    </row>
    <row r="827" spans="5:5" ht="15.75" customHeight="1" x14ac:dyDescent="0.3">
      <c r="E827" s="14"/>
    </row>
    <row r="828" spans="5:5" ht="15.75" customHeight="1" x14ac:dyDescent="0.3">
      <c r="E828" s="14"/>
    </row>
    <row r="829" spans="5:5" ht="15.75" customHeight="1" x14ac:dyDescent="0.3">
      <c r="E829" s="14"/>
    </row>
    <row r="830" spans="5:5" ht="15.75" customHeight="1" x14ac:dyDescent="0.3">
      <c r="E830" s="14"/>
    </row>
    <row r="831" spans="5:5" ht="15.75" customHeight="1" x14ac:dyDescent="0.3">
      <c r="E831" s="14"/>
    </row>
    <row r="832" spans="5:5" ht="15.75" customHeight="1" x14ac:dyDescent="0.3">
      <c r="E832" s="14"/>
    </row>
    <row r="833" spans="5:5" ht="15.75" customHeight="1" x14ac:dyDescent="0.3">
      <c r="E833" s="14"/>
    </row>
    <row r="834" spans="5:5" ht="15.75" customHeight="1" x14ac:dyDescent="0.3">
      <c r="E834" s="14"/>
    </row>
    <row r="835" spans="5:5" ht="15.75" customHeight="1" x14ac:dyDescent="0.3">
      <c r="E835" s="14"/>
    </row>
    <row r="836" spans="5:5" ht="15.75" customHeight="1" x14ac:dyDescent="0.3">
      <c r="E836" s="14"/>
    </row>
    <row r="837" spans="5:5" ht="15.75" customHeight="1" x14ac:dyDescent="0.3">
      <c r="E837" s="14"/>
    </row>
    <row r="838" spans="5:5" ht="15.75" customHeight="1" x14ac:dyDescent="0.3">
      <c r="E838" s="14"/>
    </row>
    <row r="839" spans="5:5" ht="15.75" customHeight="1" x14ac:dyDescent="0.3">
      <c r="E839" s="14"/>
    </row>
    <row r="840" spans="5:5" ht="15.75" customHeight="1" x14ac:dyDescent="0.3">
      <c r="E840" s="14"/>
    </row>
    <row r="841" spans="5:5" ht="15.75" customHeight="1" x14ac:dyDescent="0.3">
      <c r="E841" s="14"/>
    </row>
    <row r="842" spans="5:5" ht="15.75" customHeight="1" x14ac:dyDescent="0.3">
      <c r="E842" s="14"/>
    </row>
    <row r="843" spans="5:5" ht="15.75" customHeight="1" x14ac:dyDescent="0.3">
      <c r="E843" s="14"/>
    </row>
    <row r="844" spans="5:5" ht="15.75" customHeight="1" x14ac:dyDescent="0.3">
      <c r="E844" s="14"/>
    </row>
    <row r="845" spans="5:5" ht="15.75" customHeight="1" x14ac:dyDescent="0.3">
      <c r="E845" s="14"/>
    </row>
    <row r="846" spans="5:5" ht="15.75" customHeight="1" x14ac:dyDescent="0.3">
      <c r="E846" s="14"/>
    </row>
    <row r="847" spans="5:5" ht="15.75" customHeight="1" x14ac:dyDescent="0.3">
      <c r="E847" s="14"/>
    </row>
    <row r="848" spans="5:5" ht="15.75" customHeight="1" x14ac:dyDescent="0.3">
      <c r="E848" s="14"/>
    </row>
    <row r="849" spans="5:5" ht="15.75" customHeight="1" x14ac:dyDescent="0.3">
      <c r="E849" s="14"/>
    </row>
    <row r="850" spans="5:5" ht="15.75" customHeight="1" x14ac:dyDescent="0.3">
      <c r="E850" s="14"/>
    </row>
    <row r="851" spans="5:5" ht="15.75" customHeight="1" x14ac:dyDescent="0.3">
      <c r="E851" s="14"/>
    </row>
    <row r="852" spans="5:5" ht="15.75" customHeight="1" x14ac:dyDescent="0.3">
      <c r="E852" s="14"/>
    </row>
    <row r="853" spans="5:5" ht="15.75" customHeight="1" x14ac:dyDescent="0.3">
      <c r="E853" s="14"/>
    </row>
    <row r="854" spans="5:5" ht="15.75" customHeight="1" x14ac:dyDescent="0.3">
      <c r="E854" s="14"/>
    </row>
    <row r="855" spans="5:5" ht="15.75" customHeight="1" x14ac:dyDescent="0.3">
      <c r="E855" s="14"/>
    </row>
    <row r="856" spans="5:5" ht="15.75" customHeight="1" x14ac:dyDescent="0.3">
      <c r="E856" s="14"/>
    </row>
    <row r="857" spans="5:5" ht="15.75" customHeight="1" x14ac:dyDescent="0.3">
      <c r="E857" s="14"/>
    </row>
    <row r="858" spans="5:5" ht="15.75" customHeight="1" x14ac:dyDescent="0.3">
      <c r="E858" s="14"/>
    </row>
    <row r="859" spans="5:5" ht="15.75" customHeight="1" x14ac:dyDescent="0.3">
      <c r="E859" s="14"/>
    </row>
    <row r="860" spans="5:5" ht="15.75" customHeight="1" x14ac:dyDescent="0.3">
      <c r="E860" s="14"/>
    </row>
    <row r="861" spans="5:5" ht="15.75" customHeight="1" x14ac:dyDescent="0.3">
      <c r="E861" s="14"/>
    </row>
    <row r="862" spans="5:5" ht="15.75" customHeight="1" x14ac:dyDescent="0.3">
      <c r="E862" s="14"/>
    </row>
    <row r="863" spans="5:5" ht="15.75" customHeight="1" x14ac:dyDescent="0.3">
      <c r="E863" s="14"/>
    </row>
    <row r="864" spans="5:5" ht="15.75" customHeight="1" x14ac:dyDescent="0.3">
      <c r="E864" s="14"/>
    </row>
    <row r="865" spans="5:5" ht="15.75" customHeight="1" x14ac:dyDescent="0.3">
      <c r="E865" s="14"/>
    </row>
    <row r="866" spans="5:5" ht="15.75" customHeight="1" x14ac:dyDescent="0.3">
      <c r="E866" s="14"/>
    </row>
    <row r="867" spans="5:5" ht="15.75" customHeight="1" x14ac:dyDescent="0.3">
      <c r="E867" s="14"/>
    </row>
    <row r="868" spans="5:5" ht="15.75" customHeight="1" x14ac:dyDescent="0.3">
      <c r="E868" s="14"/>
    </row>
    <row r="869" spans="5:5" ht="15.75" customHeight="1" x14ac:dyDescent="0.3">
      <c r="E869" s="14"/>
    </row>
    <row r="870" spans="5:5" ht="15.75" customHeight="1" x14ac:dyDescent="0.3">
      <c r="E870" s="14"/>
    </row>
    <row r="871" spans="5:5" ht="15.75" customHeight="1" x14ac:dyDescent="0.3">
      <c r="E871" s="14"/>
    </row>
    <row r="872" spans="5:5" ht="15.75" customHeight="1" x14ac:dyDescent="0.3">
      <c r="E872" s="14"/>
    </row>
    <row r="873" spans="5:5" ht="15.75" customHeight="1" x14ac:dyDescent="0.3">
      <c r="E873" s="14"/>
    </row>
    <row r="874" spans="5:5" ht="15.75" customHeight="1" x14ac:dyDescent="0.3">
      <c r="E874" s="14"/>
    </row>
    <row r="875" spans="5:5" ht="15.75" customHeight="1" x14ac:dyDescent="0.3">
      <c r="E875" s="14"/>
    </row>
    <row r="876" spans="5:5" ht="15.75" customHeight="1" x14ac:dyDescent="0.3">
      <c r="E876" s="14"/>
    </row>
    <row r="877" spans="5:5" ht="15.75" customHeight="1" x14ac:dyDescent="0.3">
      <c r="E877" s="14"/>
    </row>
    <row r="878" spans="5:5" ht="15.75" customHeight="1" x14ac:dyDescent="0.3">
      <c r="E878" s="14"/>
    </row>
    <row r="879" spans="5:5" ht="15.75" customHeight="1" x14ac:dyDescent="0.3">
      <c r="E879" s="14"/>
    </row>
    <row r="880" spans="5:5" ht="15.75" customHeight="1" x14ac:dyDescent="0.3">
      <c r="E880" s="14"/>
    </row>
    <row r="881" spans="5:5" ht="15.75" customHeight="1" x14ac:dyDescent="0.3">
      <c r="E881" s="14"/>
    </row>
    <row r="882" spans="5:5" ht="15.75" customHeight="1" x14ac:dyDescent="0.3">
      <c r="E882" s="14"/>
    </row>
    <row r="883" spans="5:5" ht="15.75" customHeight="1" x14ac:dyDescent="0.3">
      <c r="E883" s="14"/>
    </row>
    <row r="884" spans="5:5" ht="15.75" customHeight="1" x14ac:dyDescent="0.3">
      <c r="E884" s="14"/>
    </row>
    <row r="885" spans="5:5" ht="15.75" customHeight="1" x14ac:dyDescent="0.3">
      <c r="E885" s="14"/>
    </row>
    <row r="886" spans="5:5" ht="15.75" customHeight="1" x14ac:dyDescent="0.3">
      <c r="E886" s="14"/>
    </row>
    <row r="887" spans="5:5" ht="15.75" customHeight="1" x14ac:dyDescent="0.3">
      <c r="E887" s="14"/>
    </row>
    <row r="888" spans="5:5" ht="15.75" customHeight="1" x14ac:dyDescent="0.3">
      <c r="E888" s="14"/>
    </row>
    <row r="889" spans="5:5" ht="15.75" customHeight="1" x14ac:dyDescent="0.3">
      <c r="E889" s="14"/>
    </row>
    <row r="890" spans="5:5" ht="15.75" customHeight="1" x14ac:dyDescent="0.3">
      <c r="E890" s="14"/>
    </row>
    <row r="891" spans="5:5" ht="15.75" customHeight="1" x14ac:dyDescent="0.3">
      <c r="E891" s="14"/>
    </row>
    <row r="892" spans="5:5" ht="15.75" customHeight="1" x14ac:dyDescent="0.3">
      <c r="E892" s="14"/>
    </row>
    <row r="893" spans="5:5" ht="15.75" customHeight="1" x14ac:dyDescent="0.3">
      <c r="E893" s="14"/>
    </row>
    <row r="894" spans="5:5" ht="15.75" customHeight="1" x14ac:dyDescent="0.3">
      <c r="E894" s="14"/>
    </row>
    <row r="895" spans="5:5" ht="15.75" customHeight="1" x14ac:dyDescent="0.3">
      <c r="E895" s="14"/>
    </row>
    <row r="896" spans="5:5" ht="15.75" customHeight="1" x14ac:dyDescent="0.3">
      <c r="E896" s="14"/>
    </row>
    <row r="897" spans="5:5" ht="15.75" customHeight="1" x14ac:dyDescent="0.3">
      <c r="E897" s="14"/>
    </row>
    <row r="898" spans="5:5" ht="15.75" customHeight="1" x14ac:dyDescent="0.3">
      <c r="E898" s="14"/>
    </row>
    <row r="899" spans="5:5" ht="15.75" customHeight="1" x14ac:dyDescent="0.3">
      <c r="E899" s="14"/>
    </row>
    <row r="900" spans="5:5" ht="15.75" customHeight="1" x14ac:dyDescent="0.3">
      <c r="E900" s="14"/>
    </row>
    <row r="901" spans="5:5" ht="15.75" customHeight="1" x14ac:dyDescent="0.3">
      <c r="E901" s="14"/>
    </row>
    <row r="902" spans="5:5" ht="15.75" customHeight="1" x14ac:dyDescent="0.3">
      <c r="E902" s="14"/>
    </row>
    <row r="903" spans="5:5" ht="15.75" customHeight="1" x14ac:dyDescent="0.3">
      <c r="E903" s="14"/>
    </row>
    <row r="904" spans="5:5" ht="15.75" customHeight="1" x14ac:dyDescent="0.3">
      <c r="E904" s="14"/>
    </row>
    <row r="905" spans="5:5" ht="15.75" customHeight="1" x14ac:dyDescent="0.3">
      <c r="E905" s="14"/>
    </row>
    <row r="906" spans="5:5" ht="15.75" customHeight="1" x14ac:dyDescent="0.3">
      <c r="E906" s="14"/>
    </row>
    <row r="907" spans="5:5" ht="15.75" customHeight="1" x14ac:dyDescent="0.3">
      <c r="E907" s="14"/>
    </row>
    <row r="908" spans="5:5" ht="15.75" customHeight="1" x14ac:dyDescent="0.3">
      <c r="E908" s="14"/>
    </row>
    <row r="909" spans="5:5" ht="15.75" customHeight="1" x14ac:dyDescent="0.3">
      <c r="E909" s="14"/>
    </row>
    <row r="910" spans="5:5" ht="15.75" customHeight="1" x14ac:dyDescent="0.3">
      <c r="E910" s="14"/>
    </row>
    <row r="911" spans="5:5" ht="15.75" customHeight="1" x14ac:dyDescent="0.3">
      <c r="E911" s="14"/>
    </row>
    <row r="912" spans="5:5" ht="15.75" customHeight="1" x14ac:dyDescent="0.3">
      <c r="E912" s="14"/>
    </row>
    <row r="913" spans="5:5" ht="15.75" customHeight="1" x14ac:dyDescent="0.3">
      <c r="E913" s="14"/>
    </row>
    <row r="914" spans="5:5" ht="15.75" customHeight="1" x14ac:dyDescent="0.3">
      <c r="E914" s="14"/>
    </row>
    <row r="915" spans="5:5" ht="15.75" customHeight="1" x14ac:dyDescent="0.3">
      <c r="E915" s="14"/>
    </row>
    <row r="916" spans="5:5" ht="15.75" customHeight="1" x14ac:dyDescent="0.3">
      <c r="E916" s="14"/>
    </row>
    <row r="917" spans="5:5" ht="15.75" customHeight="1" x14ac:dyDescent="0.3">
      <c r="E917" s="14"/>
    </row>
    <row r="918" spans="5:5" ht="15.75" customHeight="1" x14ac:dyDescent="0.3">
      <c r="E918" s="14"/>
    </row>
    <row r="919" spans="5:5" ht="15.75" customHeight="1" x14ac:dyDescent="0.3">
      <c r="E919" s="14"/>
    </row>
    <row r="920" spans="5:5" ht="15.75" customHeight="1" x14ac:dyDescent="0.3">
      <c r="E920" s="14"/>
    </row>
    <row r="921" spans="5:5" ht="15.75" customHeight="1" x14ac:dyDescent="0.3">
      <c r="E921" s="14"/>
    </row>
    <row r="922" spans="5:5" ht="15.75" customHeight="1" x14ac:dyDescent="0.3">
      <c r="E922" s="14"/>
    </row>
    <row r="923" spans="5:5" ht="15.75" customHeight="1" x14ac:dyDescent="0.3">
      <c r="E923" s="14"/>
    </row>
    <row r="924" spans="5:5" ht="15.75" customHeight="1" x14ac:dyDescent="0.3">
      <c r="E924" s="14"/>
    </row>
    <row r="925" spans="5:5" ht="15.75" customHeight="1" x14ac:dyDescent="0.3">
      <c r="E925" s="14"/>
    </row>
    <row r="926" spans="5:5" ht="15.75" customHeight="1" x14ac:dyDescent="0.3">
      <c r="E926" s="14"/>
    </row>
    <row r="927" spans="5:5" ht="15.75" customHeight="1" x14ac:dyDescent="0.3">
      <c r="E927" s="14"/>
    </row>
    <row r="928" spans="5:5" ht="15.75" customHeight="1" x14ac:dyDescent="0.3">
      <c r="E928" s="14"/>
    </row>
    <row r="929" spans="5:5" ht="15.75" customHeight="1" x14ac:dyDescent="0.3">
      <c r="E929" s="14"/>
    </row>
    <row r="930" spans="5:5" ht="15.75" customHeight="1" x14ac:dyDescent="0.3">
      <c r="E930" s="14"/>
    </row>
    <row r="931" spans="5:5" ht="15.75" customHeight="1" x14ac:dyDescent="0.3">
      <c r="E931" s="14"/>
    </row>
    <row r="932" spans="5:5" ht="15.75" customHeight="1" x14ac:dyDescent="0.3">
      <c r="E932" s="14"/>
    </row>
    <row r="933" spans="5:5" ht="15.75" customHeight="1" x14ac:dyDescent="0.3">
      <c r="E933" s="14"/>
    </row>
    <row r="934" spans="5:5" ht="15.75" customHeight="1" x14ac:dyDescent="0.3">
      <c r="E934" s="14"/>
    </row>
    <row r="935" spans="5:5" ht="15.75" customHeight="1" x14ac:dyDescent="0.3">
      <c r="E935" s="14"/>
    </row>
    <row r="936" spans="5:5" ht="15.75" customHeight="1" x14ac:dyDescent="0.3">
      <c r="E936" s="14"/>
    </row>
    <row r="937" spans="5:5" ht="15.75" customHeight="1" x14ac:dyDescent="0.3">
      <c r="E937" s="14"/>
    </row>
    <row r="938" spans="5:5" ht="15.75" customHeight="1" x14ac:dyDescent="0.3">
      <c r="E938" s="14"/>
    </row>
    <row r="939" spans="5:5" ht="15.75" customHeight="1" x14ac:dyDescent="0.3">
      <c r="E939" s="14"/>
    </row>
    <row r="940" spans="5:5" ht="15.75" customHeight="1" x14ac:dyDescent="0.3">
      <c r="E940" s="14"/>
    </row>
    <row r="941" spans="5:5" ht="15.75" customHeight="1" x14ac:dyDescent="0.3">
      <c r="E941" s="14"/>
    </row>
    <row r="942" spans="5:5" ht="15.75" customHeight="1" x14ac:dyDescent="0.3">
      <c r="E942" s="14"/>
    </row>
    <row r="943" spans="5:5" ht="15.75" customHeight="1" x14ac:dyDescent="0.3">
      <c r="E943" s="14"/>
    </row>
    <row r="944" spans="5:5" ht="15.75" customHeight="1" x14ac:dyDescent="0.3">
      <c r="E944" s="14"/>
    </row>
    <row r="945" spans="5:5" ht="15.75" customHeight="1" x14ac:dyDescent="0.3">
      <c r="E945" s="14"/>
    </row>
    <row r="946" spans="5:5" ht="15.75" customHeight="1" x14ac:dyDescent="0.3">
      <c r="E946" s="14"/>
    </row>
    <row r="947" spans="5:5" ht="15.75" customHeight="1" x14ac:dyDescent="0.3">
      <c r="E947" s="14"/>
    </row>
    <row r="948" spans="5:5" ht="15.75" customHeight="1" x14ac:dyDescent="0.3">
      <c r="E948" s="14"/>
    </row>
    <row r="949" spans="5:5" ht="15.75" customHeight="1" x14ac:dyDescent="0.3">
      <c r="E949" s="14"/>
    </row>
    <row r="950" spans="5:5" ht="15.75" customHeight="1" x14ac:dyDescent="0.3">
      <c r="E950" s="14"/>
    </row>
    <row r="951" spans="5:5" ht="15.75" customHeight="1" x14ac:dyDescent="0.3">
      <c r="E951" s="14"/>
    </row>
    <row r="952" spans="5:5" ht="15.75" customHeight="1" x14ac:dyDescent="0.3">
      <c r="E952" s="14"/>
    </row>
    <row r="953" spans="5:5" ht="15.75" customHeight="1" x14ac:dyDescent="0.3">
      <c r="E953" s="14"/>
    </row>
    <row r="954" spans="5:5" ht="15.75" customHeight="1" x14ac:dyDescent="0.3">
      <c r="E954" s="14"/>
    </row>
    <row r="955" spans="5:5" ht="15.75" customHeight="1" x14ac:dyDescent="0.3">
      <c r="E955" s="14"/>
    </row>
    <row r="956" spans="5:5" ht="15.75" customHeight="1" x14ac:dyDescent="0.3">
      <c r="E956" s="14"/>
    </row>
    <row r="957" spans="5:5" ht="15.75" customHeight="1" x14ac:dyDescent="0.3">
      <c r="E957" s="14"/>
    </row>
    <row r="958" spans="5:5" ht="15.75" customHeight="1" x14ac:dyDescent="0.3">
      <c r="E958" s="14"/>
    </row>
    <row r="959" spans="5:5" ht="15.75" customHeight="1" x14ac:dyDescent="0.3">
      <c r="E959" s="14"/>
    </row>
    <row r="960" spans="5:5" ht="15.75" customHeight="1" x14ac:dyDescent="0.3">
      <c r="E960" s="14"/>
    </row>
    <row r="961" spans="5:5" ht="15.75" customHeight="1" x14ac:dyDescent="0.3">
      <c r="E961" s="14"/>
    </row>
    <row r="962" spans="5:5" ht="15.75" customHeight="1" x14ac:dyDescent="0.3">
      <c r="E962" s="14"/>
    </row>
    <row r="963" spans="5:5" ht="15.75" customHeight="1" x14ac:dyDescent="0.3">
      <c r="E963" s="14"/>
    </row>
    <row r="964" spans="5:5" ht="15.75" customHeight="1" x14ac:dyDescent="0.3">
      <c r="E964" s="14"/>
    </row>
    <row r="965" spans="5:5" ht="15.75" customHeight="1" x14ac:dyDescent="0.3">
      <c r="E965" s="14"/>
    </row>
    <row r="966" spans="5:5" ht="15.75" customHeight="1" x14ac:dyDescent="0.3">
      <c r="E966" s="14"/>
    </row>
    <row r="967" spans="5:5" ht="15.75" customHeight="1" x14ac:dyDescent="0.3">
      <c r="E967" s="14"/>
    </row>
    <row r="968" spans="5:5" ht="15.75" customHeight="1" x14ac:dyDescent="0.3">
      <c r="E968" s="14"/>
    </row>
    <row r="969" spans="5:5" ht="15.75" customHeight="1" x14ac:dyDescent="0.3">
      <c r="E969" s="14"/>
    </row>
    <row r="970" spans="5:5" ht="15.75" customHeight="1" x14ac:dyDescent="0.3">
      <c r="E970" s="14"/>
    </row>
    <row r="971" spans="5:5" ht="15.75" customHeight="1" x14ac:dyDescent="0.3">
      <c r="E971" s="14"/>
    </row>
    <row r="972" spans="5:5" ht="15.75" customHeight="1" x14ac:dyDescent="0.3">
      <c r="E972" s="14"/>
    </row>
    <row r="973" spans="5:5" ht="15.75" customHeight="1" x14ac:dyDescent="0.3">
      <c r="E973" s="14"/>
    </row>
    <row r="974" spans="5:5" ht="15.75" customHeight="1" x14ac:dyDescent="0.3">
      <c r="E974" s="14"/>
    </row>
    <row r="975" spans="5:5" ht="15.75" customHeight="1" x14ac:dyDescent="0.3">
      <c r="E975" s="14"/>
    </row>
    <row r="976" spans="5:5" ht="15.75" customHeight="1" x14ac:dyDescent="0.3">
      <c r="E976" s="14"/>
    </row>
    <row r="977" spans="5:5" ht="15.75" customHeight="1" x14ac:dyDescent="0.3">
      <c r="E977" s="14"/>
    </row>
    <row r="978" spans="5:5" ht="15.75" customHeight="1" x14ac:dyDescent="0.3">
      <c r="E978" s="14"/>
    </row>
    <row r="979" spans="5:5" ht="15.75" customHeight="1" x14ac:dyDescent="0.3">
      <c r="E979" s="14"/>
    </row>
    <row r="980" spans="5:5" ht="15.75" customHeight="1" x14ac:dyDescent="0.3">
      <c r="E980" s="14"/>
    </row>
    <row r="981" spans="5:5" ht="15.75" customHeight="1" x14ac:dyDescent="0.3">
      <c r="E981" s="14"/>
    </row>
    <row r="982" spans="5:5" ht="15.75" customHeight="1" x14ac:dyDescent="0.3">
      <c r="E982" s="14"/>
    </row>
    <row r="983" spans="5:5" ht="15.75" customHeight="1" x14ac:dyDescent="0.3">
      <c r="E983" s="14"/>
    </row>
    <row r="984" spans="5:5" ht="15.75" customHeight="1" x14ac:dyDescent="0.3">
      <c r="E984" s="14"/>
    </row>
    <row r="985" spans="5:5" ht="15.75" customHeight="1" x14ac:dyDescent="0.3">
      <c r="E985" s="14"/>
    </row>
    <row r="986" spans="5:5" ht="15.75" customHeight="1" x14ac:dyDescent="0.3">
      <c r="E986" s="14"/>
    </row>
    <row r="987" spans="5:5" ht="15.75" customHeight="1" x14ac:dyDescent="0.3">
      <c r="E987" s="14"/>
    </row>
    <row r="988" spans="5:5" ht="15.75" customHeight="1" x14ac:dyDescent="0.3">
      <c r="E988" s="14"/>
    </row>
    <row r="989" spans="5:5" ht="15.75" customHeight="1" x14ac:dyDescent="0.3">
      <c r="E989" s="14"/>
    </row>
    <row r="990" spans="5:5" ht="15.75" customHeight="1" x14ac:dyDescent="0.3">
      <c r="E990" s="14"/>
    </row>
    <row r="991" spans="5:5" ht="15.75" customHeight="1" x14ac:dyDescent="0.3">
      <c r="E991" s="14"/>
    </row>
    <row r="992" spans="5:5" ht="15.75" customHeight="1" x14ac:dyDescent="0.3">
      <c r="E992" s="14"/>
    </row>
    <row r="993" spans="5:5" ht="15.75" customHeight="1" x14ac:dyDescent="0.3">
      <c r="E993" s="14"/>
    </row>
    <row r="994" spans="5:5" ht="15.75" customHeight="1" x14ac:dyDescent="0.3">
      <c r="E994" s="14"/>
    </row>
    <row r="995" spans="5:5" ht="15.75" customHeight="1" x14ac:dyDescent="0.3">
      <c r="E995" s="14"/>
    </row>
    <row r="996" spans="5:5" ht="15.75" customHeight="1" x14ac:dyDescent="0.3">
      <c r="E996" s="14"/>
    </row>
    <row r="997" spans="5:5" ht="15.75" customHeight="1" x14ac:dyDescent="0.3">
      <c r="E997" s="14"/>
    </row>
    <row r="998" spans="5:5" ht="15.75" customHeight="1" x14ac:dyDescent="0.3">
      <c r="E998" s="14"/>
    </row>
    <row r="999" spans="5:5" ht="15.75" customHeight="1" x14ac:dyDescent="0.3">
      <c r="E999" s="14"/>
    </row>
    <row r="1000" spans="5:5" ht="15.75" customHeight="1" x14ac:dyDescent="0.3">
      <c r="E1000" s="14"/>
    </row>
    <row r="1001" spans="5:5" ht="15.75" customHeight="1" x14ac:dyDescent="0.3">
      <c r="E1001" s="14"/>
    </row>
    <row r="1002" spans="5:5" ht="15.75" customHeight="1" x14ac:dyDescent="0.3">
      <c r="E1002" s="14"/>
    </row>
    <row r="1003" spans="5:5" ht="15.75" customHeight="1" x14ac:dyDescent="0.3">
      <c r="E1003" s="14"/>
    </row>
    <row r="1004" spans="5:5" ht="15.75" customHeight="1" x14ac:dyDescent="0.3">
      <c r="E1004" s="14"/>
    </row>
    <row r="1005" spans="5:5" ht="15.75" customHeight="1" x14ac:dyDescent="0.3">
      <c r="E1005" s="14"/>
    </row>
    <row r="1006" spans="5:5" ht="15.75" customHeight="1" x14ac:dyDescent="0.3">
      <c r="E1006" s="14"/>
    </row>
    <row r="1007" spans="5:5" ht="15.75" customHeight="1" x14ac:dyDescent="0.3">
      <c r="E1007" s="14"/>
    </row>
    <row r="1008" spans="5:5" ht="15.75" customHeight="1" x14ac:dyDescent="0.3">
      <c r="E1008" s="14"/>
    </row>
    <row r="1009" spans="5:5" ht="15.75" customHeight="1" x14ac:dyDescent="0.3">
      <c r="E1009" s="14"/>
    </row>
    <row r="1010" spans="5:5" ht="15.75" customHeight="1" x14ac:dyDescent="0.3">
      <c r="E1010" s="14"/>
    </row>
    <row r="1011" spans="5:5" ht="15.75" customHeight="1" x14ac:dyDescent="0.3">
      <c r="E1011" s="14"/>
    </row>
    <row r="1012" spans="5:5" ht="15.75" customHeight="1" x14ac:dyDescent="0.3">
      <c r="E1012" s="14"/>
    </row>
    <row r="1013" spans="5:5" ht="15.75" customHeight="1" x14ac:dyDescent="0.3">
      <c r="E1013" s="14"/>
    </row>
    <row r="1014" spans="5:5" ht="15.75" customHeight="1" x14ac:dyDescent="0.3">
      <c r="E1014" s="14"/>
    </row>
    <row r="1015" spans="5:5" ht="15.75" customHeight="1" x14ac:dyDescent="0.3">
      <c r="E1015" s="14"/>
    </row>
    <row r="1016" spans="5:5" ht="15.75" customHeight="1" x14ac:dyDescent="0.3">
      <c r="E1016" s="14"/>
    </row>
    <row r="1017" spans="5:5" ht="15.75" customHeight="1" x14ac:dyDescent="0.3">
      <c r="E1017" s="14"/>
    </row>
    <row r="1018" spans="5:5" ht="15.75" customHeight="1" x14ac:dyDescent="0.3">
      <c r="E1018" s="14"/>
    </row>
    <row r="1019" spans="5:5" ht="15.75" customHeight="1" x14ac:dyDescent="0.3">
      <c r="E1019" s="14"/>
    </row>
    <row r="1020" spans="5:5" ht="15.75" customHeight="1" x14ac:dyDescent="0.3">
      <c r="E1020" s="14"/>
    </row>
    <row r="1021" spans="5:5" ht="15.75" customHeight="1" x14ac:dyDescent="0.3">
      <c r="E1021" s="14"/>
    </row>
    <row r="1022" spans="5:5" ht="15.75" customHeight="1" x14ac:dyDescent="0.3">
      <c r="E1022" s="14"/>
    </row>
    <row r="1023" spans="5:5" ht="15.75" customHeight="1" x14ac:dyDescent="0.3">
      <c r="E1023" s="14"/>
    </row>
    <row r="1024" spans="5:5" ht="15.75" customHeight="1" x14ac:dyDescent="0.3">
      <c r="E1024" s="14"/>
    </row>
    <row r="1025" spans="5:5" ht="15.75" customHeight="1" x14ac:dyDescent="0.3">
      <c r="E1025" s="14"/>
    </row>
    <row r="1026" spans="5:5" ht="15.75" customHeight="1" x14ac:dyDescent="0.3">
      <c r="E1026" s="14"/>
    </row>
    <row r="1027" spans="5:5" ht="15.75" customHeight="1" x14ac:dyDescent="0.3">
      <c r="E1027" s="14"/>
    </row>
    <row r="1028" spans="5:5" ht="15.75" customHeight="1" x14ac:dyDescent="0.3">
      <c r="E1028" s="14"/>
    </row>
    <row r="1029" spans="5:5" ht="15.75" customHeight="1" x14ac:dyDescent="0.3">
      <c r="E1029" s="14"/>
    </row>
    <row r="1030" spans="5:5" ht="15.75" customHeight="1" x14ac:dyDescent="0.3">
      <c r="E1030" s="14"/>
    </row>
    <row r="1031" spans="5:5" ht="15.75" customHeight="1" x14ac:dyDescent="0.3">
      <c r="E1031" s="14"/>
    </row>
    <row r="1032" spans="5:5" ht="15.75" customHeight="1" x14ac:dyDescent="0.3">
      <c r="E1032" s="14"/>
    </row>
    <row r="1033" spans="5:5" ht="15.75" customHeight="1" x14ac:dyDescent="0.3">
      <c r="E1033" s="14"/>
    </row>
    <row r="1034" spans="5:5" ht="15.75" customHeight="1" x14ac:dyDescent="0.3">
      <c r="E1034" s="14"/>
    </row>
  </sheetData>
  <mergeCells count="9">
    <mergeCell ref="L3:U6"/>
    <mergeCell ref="E4:E6"/>
    <mergeCell ref="I4:I6"/>
    <mergeCell ref="J4:J6"/>
    <mergeCell ref="B5:C5"/>
    <mergeCell ref="G4:G6"/>
    <mergeCell ref="F5:F6"/>
    <mergeCell ref="H2:H6"/>
    <mergeCell ref="K3:K6"/>
  </mergeCells>
  <phoneticPr fontId="36" type="noConversion"/>
  <conditionalFormatting sqref="L8:AF15 L17:AF38 L40:AF83 L85:AF106 L108:AF109">
    <cfRule type="cellIs" dxfId="4" priority="1" operator="equal">
      <formula>0</formula>
    </cfRule>
  </conditionalFormatting>
  <pageMargins left="0.7" right="0.7" top="0.75" bottom="0.75" header="0" footer="0"/>
  <pageSetup paperSize="8" orientation="landscape"/>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K1000"/>
  <sheetViews>
    <sheetView showGridLines="0" workbookViewId="0"/>
  </sheetViews>
  <sheetFormatPr defaultColWidth="14.44140625" defaultRowHeight="15" customHeight="1" x14ac:dyDescent="0.3"/>
  <cols>
    <col min="1" max="1" width="5.6640625" customWidth="1"/>
    <col min="2" max="11" width="8.6640625" customWidth="1"/>
  </cols>
  <sheetData>
    <row r="1" spans="2:11" ht="13.5" customHeight="1" x14ac:dyDescent="0.3"/>
    <row r="2" spans="2:11" ht="13.5" customHeight="1" x14ac:dyDescent="0.3"/>
    <row r="3" spans="2:11" ht="13.5" customHeight="1" x14ac:dyDescent="0.3"/>
    <row r="4" spans="2:11" ht="13.5" customHeight="1" x14ac:dyDescent="0.3"/>
    <row r="5" spans="2:11" ht="13.5" customHeight="1" x14ac:dyDescent="0.4">
      <c r="B5" s="15" t="s">
        <v>240</v>
      </c>
    </row>
    <row r="6" spans="2:11" ht="13.5" customHeight="1" x14ac:dyDescent="0.3"/>
    <row r="7" spans="2:11" ht="13.5" customHeight="1" x14ac:dyDescent="0.3"/>
    <row r="8" spans="2:11" ht="13.5" customHeight="1" x14ac:dyDescent="0.3">
      <c r="B8" s="65" t="s">
        <v>241</v>
      </c>
      <c r="K8" s="65"/>
    </row>
    <row r="9" spans="2:11" ht="13.5" customHeight="1" x14ac:dyDescent="0.3"/>
    <row r="10" spans="2:11" ht="13.5" customHeight="1" x14ac:dyDescent="0.3"/>
    <row r="11" spans="2:11" ht="13.5" customHeight="1" x14ac:dyDescent="0.3"/>
    <row r="12" spans="2:11" ht="13.5" customHeight="1" x14ac:dyDescent="0.3"/>
    <row r="13" spans="2:11" ht="13.5" customHeight="1" x14ac:dyDescent="0.3"/>
    <row r="14" spans="2:11" ht="13.5" customHeight="1" x14ac:dyDescent="0.3"/>
    <row r="15" spans="2:11" ht="13.5" customHeight="1" x14ac:dyDescent="0.3"/>
    <row r="16" spans="2:11"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paperSize="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K1000"/>
  <sheetViews>
    <sheetView showGridLines="0" workbookViewId="0"/>
  </sheetViews>
  <sheetFormatPr defaultColWidth="14.44140625" defaultRowHeight="15" customHeight="1" x14ac:dyDescent="0.3"/>
  <cols>
    <col min="1" max="1" width="5.6640625" customWidth="1"/>
    <col min="2" max="11" width="8.6640625" customWidth="1"/>
  </cols>
  <sheetData>
    <row r="1" spans="2:11" ht="13.5" customHeight="1" x14ac:dyDescent="0.3"/>
    <row r="2" spans="2:11" ht="13.5" customHeight="1" x14ac:dyDescent="0.3"/>
    <row r="3" spans="2:11" ht="13.5" customHeight="1" x14ac:dyDescent="0.3"/>
    <row r="4" spans="2:11" ht="13.5" customHeight="1" x14ac:dyDescent="0.3"/>
    <row r="5" spans="2:11" ht="13.5" customHeight="1" x14ac:dyDescent="0.4">
      <c r="B5" s="15" t="s">
        <v>240</v>
      </c>
    </row>
    <row r="6" spans="2:11" ht="13.5" customHeight="1" x14ac:dyDescent="0.3"/>
    <row r="7" spans="2:11" ht="13.5" customHeight="1" x14ac:dyDescent="0.3"/>
    <row r="8" spans="2:11" ht="13.5" customHeight="1" x14ac:dyDescent="0.3">
      <c r="B8" s="65" t="s">
        <v>241</v>
      </c>
      <c r="K8" s="65"/>
    </row>
    <row r="9" spans="2:11" ht="13.5" customHeight="1" x14ac:dyDescent="0.3"/>
    <row r="10" spans="2:11" ht="13.5" customHeight="1" x14ac:dyDescent="0.3"/>
    <row r="11" spans="2:11" ht="13.5" customHeight="1" x14ac:dyDescent="0.3"/>
    <row r="12" spans="2:11" ht="13.5" customHeight="1" x14ac:dyDescent="0.3"/>
    <row r="13" spans="2:11" ht="13.5" customHeight="1" x14ac:dyDescent="0.3"/>
    <row r="14" spans="2:11" ht="13.5" customHeight="1" x14ac:dyDescent="0.3"/>
    <row r="15" spans="2:11" ht="13.5" customHeight="1" x14ac:dyDescent="0.3"/>
    <row r="16" spans="2:11"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paperSize="8" orientation="landscape"/>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ADB"/>
    <pageSetUpPr fitToPage="1"/>
  </sheetPr>
  <dimension ref="B1:AM1010"/>
  <sheetViews>
    <sheetView showGridLines="0" topLeftCell="A52" workbookViewId="0">
      <selection activeCell="I41" sqref="I41"/>
    </sheetView>
  </sheetViews>
  <sheetFormatPr defaultColWidth="14.44140625" defaultRowHeight="15" customHeight="1" x14ac:dyDescent="0.3"/>
  <cols>
    <col min="1" max="1" width="5.44140625" customWidth="1"/>
    <col min="2" max="3" width="11.44140625" customWidth="1"/>
    <col min="4" max="4" width="42.109375" customWidth="1"/>
    <col min="5" max="5" width="15" customWidth="1"/>
    <col min="6" max="6" width="13.33203125" customWidth="1"/>
    <col min="7" max="7" width="12.5546875" customWidth="1"/>
    <col min="8" max="11" width="11.5546875" customWidth="1"/>
    <col min="12" max="12" width="5.33203125" customWidth="1"/>
    <col min="13" max="13" width="5" customWidth="1"/>
    <col min="14" max="14" width="5.33203125" customWidth="1"/>
    <col min="15" max="15" width="5.109375" customWidth="1"/>
    <col min="16" max="16" width="5.44140625" customWidth="1"/>
    <col min="17" max="17" width="5.5546875" customWidth="1"/>
    <col min="18" max="19" width="5.109375" customWidth="1"/>
    <col min="20" max="20" width="4.88671875" customWidth="1"/>
    <col min="21" max="23" width="5.33203125" customWidth="1"/>
    <col min="24" max="24" width="4.88671875" customWidth="1"/>
    <col min="25" max="25" width="6" customWidth="1"/>
    <col min="26" max="26" width="4.6640625" customWidth="1"/>
    <col min="27" max="27" width="5.6640625" customWidth="1"/>
    <col min="28" max="28" width="4.5546875" customWidth="1"/>
    <col min="29" max="29" width="6.44140625" customWidth="1"/>
    <col min="30" max="31" width="4.88671875" customWidth="1"/>
    <col min="32" max="32" width="4" customWidth="1"/>
    <col min="33" max="33" width="4.5546875" customWidth="1"/>
    <col min="34" max="34" width="4.6640625" customWidth="1"/>
    <col min="35" max="35" width="4.33203125" customWidth="1"/>
    <col min="36" max="36" width="4.6640625" customWidth="1"/>
    <col min="37" max="37" width="5.109375" customWidth="1"/>
    <col min="38" max="39" width="4.88671875" customWidth="1"/>
  </cols>
  <sheetData>
    <row r="1" spans="2:39" ht="13.5" customHeight="1" x14ac:dyDescent="0.3">
      <c r="B1" s="14"/>
      <c r="C1" s="66"/>
    </row>
    <row r="2" spans="2:39" ht="13.5" customHeight="1" x14ac:dyDescent="0.3">
      <c r="B2" s="14"/>
      <c r="C2" s="66"/>
      <c r="D2" s="1"/>
      <c r="E2" s="1"/>
      <c r="F2" s="1"/>
      <c r="G2" s="1"/>
      <c r="H2" s="215"/>
      <c r="I2" s="1"/>
      <c r="J2" s="1"/>
      <c r="K2" s="1"/>
      <c r="L2" s="1"/>
      <c r="M2" s="1"/>
      <c r="N2" s="1"/>
      <c r="O2" s="1"/>
      <c r="P2" s="1"/>
      <c r="Q2" s="1"/>
      <c r="R2" s="1"/>
      <c r="S2" s="1"/>
      <c r="T2" s="1"/>
      <c r="U2" s="1"/>
      <c r="V2" s="1"/>
      <c r="W2" s="1"/>
      <c r="X2" s="1"/>
      <c r="Y2" s="1"/>
      <c r="Z2" s="1"/>
    </row>
    <row r="3" spans="2:39" ht="13.5" customHeight="1" x14ac:dyDescent="0.3">
      <c r="B3" s="14"/>
      <c r="C3" s="66"/>
      <c r="D3" s="1"/>
      <c r="E3" s="1"/>
      <c r="F3" s="1"/>
      <c r="G3" s="1"/>
      <c r="H3" s="202"/>
      <c r="I3" s="1"/>
      <c r="J3" s="1"/>
      <c r="K3" s="214"/>
      <c r="L3" s="212"/>
      <c r="M3" s="202"/>
      <c r="N3" s="202"/>
      <c r="O3" s="202"/>
      <c r="P3" s="202"/>
      <c r="Q3" s="202"/>
      <c r="R3" s="202"/>
      <c r="S3" s="202"/>
      <c r="T3" s="202"/>
      <c r="U3" s="202"/>
      <c r="V3" s="1"/>
      <c r="W3" s="1"/>
      <c r="X3" s="1"/>
      <c r="Y3" s="1"/>
      <c r="Z3" s="1"/>
    </row>
    <row r="4" spans="2:39" ht="12.75" customHeight="1" x14ac:dyDescent="0.3">
      <c r="B4" s="14"/>
      <c r="C4" s="66"/>
      <c r="D4" s="1"/>
      <c r="E4" s="219"/>
      <c r="F4" s="1"/>
      <c r="G4" s="217"/>
      <c r="H4" s="202"/>
      <c r="I4" s="214"/>
      <c r="J4" s="215"/>
      <c r="K4" s="202"/>
      <c r="L4" s="202"/>
      <c r="M4" s="202"/>
      <c r="N4" s="202"/>
      <c r="O4" s="202"/>
      <c r="P4" s="202"/>
      <c r="Q4" s="202"/>
      <c r="R4" s="202"/>
      <c r="S4" s="202"/>
      <c r="T4" s="202"/>
      <c r="U4" s="202"/>
      <c r="V4" s="1"/>
      <c r="W4" s="1"/>
      <c r="X4" s="1"/>
      <c r="Y4" s="1"/>
      <c r="Z4" s="1"/>
    </row>
    <row r="5" spans="2:39" ht="18" customHeight="1" x14ac:dyDescent="0.3">
      <c r="B5" s="216" t="s">
        <v>297</v>
      </c>
      <c r="C5" s="202"/>
      <c r="D5" s="1"/>
      <c r="E5" s="202"/>
      <c r="F5" s="218"/>
      <c r="G5" s="202"/>
      <c r="H5" s="202"/>
      <c r="I5" s="202"/>
      <c r="J5" s="202"/>
      <c r="K5" s="202"/>
      <c r="L5" s="202"/>
      <c r="M5" s="202"/>
      <c r="N5" s="202"/>
      <c r="O5" s="202"/>
      <c r="P5" s="202"/>
      <c r="Q5" s="202"/>
      <c r="R5" s="202"/>
      <c r="S5" s="202"/>
      <c r="T5" s="202"/>
      <c r="U5" s="202"/>
      <c r="V5" s="1"/>
      <c r="W5" s="1"/>
      <c r="X5" s="1"/>
      <c r="Y5" s="1"/>
      <c r="Z5" s="1"/>
    </row>
    <row r="6" spans="2:39" ht="13.5" customHeight="1" x14ac:dyDescent="0.3">
      <c r="B6" s="67"/>
      <c r="C6" s="66"/>
      <c r="D6" s="1"/>
      <c r="E6" s="203"/>
      <c r="F6" s="203"/>
      <c r="G6" s="203"/>
      <c r="H6" s="203"/>
      <c r="I6" s="203"/>
      <c r="J6" s="203"/>
      <c r="K6" s="203"/>
      <c r="L6" s="203"/>
      <c r="M6" s="203"/>
      <c r="N6" s="203"/>
      <c r="O6" s="203"/>
      <c r="P6" s="203"/>
      <c r="Q6" s="203"/>
      <c r="R6" s="203"/>
      <c r="S6" s="203"/>
      <c r="T6" s="203"/>
      <c r="U6" s="203"/>
      <c r="V6" s="1"/>
      <c r="W6" s="1"/>
      <c r="X6" s="1"/>
      <c r="Y6" s="1"/>
      <c r="Z6" s="1"/>
    </row>
    <row r="7" spans="2:39" ht="34.5" customHeight="1" x14ac:dyDescent="0.3">
      <c r="B7" s="25" t="s">
        <v>105</v>
      </c>
      <c r="C7" s="25" t="s">
        <v>106</v>
      </c>
      <c r="D7" s="25" t="s">
        <v>107</v>
      </c>
      <c r="E7" s="25" t="s">
        <v>32</v>
      </c>
      <c r="F7" s="25" t="s">
        <v>5</v>
      </c>
      <c r="G7" s="26" t="s">
        <v>108</v>
      </c>
      <c r="H7" s="26" t="s">
        <v>109</v>
      </c>
      <c r="I7" s="26" t="s">
        <v>110</v>
      </c>
      <c r="J7" s="26" t="s">
        <v>111</v>
      </c>
      <c r="K7" s="26" t="s">
        <v>112</v>
      </c>
      <c r="L7" s="27" t="s">
        <v>113</v>
      </c>
      <c r="M7" s="27" t="s">
        <v>114</v>
      </c>
      <c r="N7" s="27" t="s">
        <v>115</v>
      </c>
      <c r="O7" s="27" t="s">
        <v>116</v>
      </c>
      <c r="P7" s="27" t="s">
        <v>117</v>
      </c>
      <c r="Q7" s="27" t="s">
        <v>118</v>
      </c>
      <c r="R7" s="70" t="s">
        <v>119</v>
      </c>
      <c r="S7" s="70" t="s">
        <v>120</v>
      </c>
      <c r="T7" s="70" t="s">
        <v>121</v>
      </c>
      <c r="U7" s="70" t="s">
        <v>122</v>
      </c>
      <c r="V7" s="70" t="s">
        <v>123</v>
      </c>
      <c r="W7" s="70" t="s">
        <v>124</v>
      </c>
      <c r="X7" s="70" t="s">
        <v>125</v>
      </c>
      <c r="Y7" s="70" t="s">
        <v>126</v>
      </c>
      <c r="Z7" s="70" t="s">
        <v>127</v>
      </c>
      <c r="AA7" s="70" t="s">
        <v>128</v>
      </c>
      <c r="AB7" s="70" t="s">
        <v>129</v>
      </c>
      <c r="AC7" s="70" t="s">
        <v>130</v>
      </c>
      <c r="AD7" s="70" t="s">
        <v>131</v>
      </c>
      <c r="AE7" s="70" t="s">
        <v>132</v>
      </c>
      <c r="AF7" s="70" t="s">
        <v>133</v>
      </c>
      <c r="AG7" s="102"/>
      <c r="AH7" s="102"/>
      <c r="AI7" s="102"/>
      <c r="AJ7" s="102"/>
      <c r="AK7" s="102"/>
      <c r="AL7" s="102"/>
      <c r="AM7" s="102"/>
    </row>
    <row r="8" spans="2:39" ht="13.5" customHeight="1" x14ac:dyDescent="0.3">
      <c r="B8" s="28" t="s">
        <v>134</v>
      </c>
      <c r="C8" s="103"/>
      <c r="D8" s="104" t="s">
        <v>135</v>
      </c>
      <c r="E8" s="105" t="s">
        <v>140</v>
      </c>
      <c r="F8" s="29" t="s">
        <v>137</v>
      </c>
      <c r="G8" s="29">
        <v>5</v>
      </c>
      <c r="H8" s="106">
        <v>5</v>
      </c>
      <c r="I8" s="106">
        <f t="shared" ref="I8:I14" si="0">G8-H8</f>
        <v>0</v>
      </c>
      <c r="J8" s="106">
        <v>6</v>
      </c>
      <c r="K8" s="106">
        <f t="shared" ref="K8:K14" si="1">SUM(J8-G8)</f>
        <v>1</v>
      </c>
      <c r="L8" s="103">
        <v>3</v>
      </c>
      <c r="M8" s="33">
        <v>2</v>
      </c>
      <c r="N8" s="33">
        <v>0</v>
      </c>
      <c r="O8" s="33">
        <v>0</v>
      </c>
      <c r="P8" s="33">
        <v>0</v>
      </c>
      <c r="Q8" s="33">
        <v>0</v>
      </c>
      <c r="R8" s="33">
        <v>0</v>
      </c>
      <c r="S8" s="33">
        <v>0</v>
      </c>
      <c r="T8" s="33">
        <v>0</v>
      </c>
      <c r="U8" s="33">
        <v>0</v>
      </c>
      <c r="V8" s="33">
        <v>0</v>
      </c>
      <c r="W8" s="33">
        <v>0</v>
      </c>
      <c r="X8" s="33">
        <v>0</v>
      </c>
      <c r="Y8" s="33">
        <v>0</v>
      </c>
      <c r="Z8" s="33">
        <v>0</v>
      </c>
      <c r="AA8" s="33">
        <v>0</v>
      </c>
      <c r="AB8" s="33">
        <v>0</v>
      </c>
      <c r="AC8" s="33">
        <v>0</v>
      </c>
      <c r="AD8" s="33">
        <v>0</v>
      </c>
      <c r="AE8" s="33">
        <v>0</v>
      </c>
      <c r="AF8" s="33">
        <v>0</v>
      </c>
    </row>
    <row r="9" spans="2:39" ht="13.5" customHeight="1" x14ac:dyDescent="0.3">
      <c r="B9" s="28" t="s">
        <v>138</v>
      </c>
      <c r="C9" s="103"/>
      <c r="D9" s="107" t="s">
        <v>243</v>
      </c>
      <c r="E9" s="105" t="s">
        <v>154</v>
      </c>
      <c r="F9" s="29" t="s">
        <v>137</v>
      </c>
      <c r="G9" s="29">
        <v>5</v>
      </c>
      <c r="H9" s="106">
        <v>5</v>
      </c>
      <c r="I9" s="106">
        <f t="shared" si="0"/>
        <v>0</v>
      </c>
      <c r="J9" s="106">
        <v>5</v>
      </c>
      <c r="K9" s="106">
        <f t="shared" si="1"/>
        <v>0</v>
      </c>
      <c r="L9" s="33">
        <v>0</v>
      </c>
      <c r="M9" s="33">
        <v>2</v>
      </c>
      <c r="N9" s="33">
        <v>2</v>
      </c>
      <c r="O9" s="33">
        <v>1</v>
      </c>
      <c r="P9" s="33">
        <v>0</v>
      </c>
      <c r="Q9" s="33">
        <v>0</v>
      </c>
      <c r="R9" s="33">
        <v>0</v>
      </c>
      <c r="S9" s="33">
        <v>0</v>
      </c>
      <c r="T9" s="33">
        <v>0</v>
      </c>
      <c r="U9" s="33">
        <v>0</v>
      </c>
      <c r="V9" s="33">
        <v>0</v>
      </c>
      <c r="W9" s="33">
        <v>0</v>
      </c>
      <c r="X9" s="33">
        <v>0</v>
      </c>
      <c r="Y9" s="33">
        <v>0</v>
      </c>
      <c r="Z9" s="33">
        <v>0</v>
      </c>
      <c r="AA9" s="33">
        <v>0</v>
      </c>
      <c r="AB9" s="33">
        <v>0</v>
      </c>
      <c r="AC9" s="33">
        <v>0</v>
      </c>
      <c r="AD9" s="33">
        <v>0</v>
      </c>
      <c r="AE9" s="33">
        <v>0</v>
      </c>
      <c r="AF9" s="33">
        <v>0</v>
      </c>
    </row>
    <row r="10" spans="2:39" ht="13.5" customHeight="1" x14ac:dyDescent="0.3">
      <c r="B10" s="28" t="s">
        <v>141</v>
      </c>
      <c r="C10" s="103"/>
      <c r="D10" s="108" t="s">
        <v>244</v>
      </c>
      <c r="E10" s="198" t="s">
        <v>151</v>
      </c>
      <c r="F10" s="29" t="s">
        <v>137</v>
      </c>
      <c r="G10" s="29">
        <v>8</v>
      </c>
      <c r="H10" s="106">
        <v>8</v>
      </c>
      <c r="I10" s="106">
        <f t="shared" si="0"/>
        <v>0</v>
      </c>
      <c r="J10" s="106">
        <v>10</v>
      </c>
      <c r="K10" s="106">
        <f t="shared" si="1"/>
        <v>2</v>
      </c>
      <c r="L10" s="33">
        <v>0</v>
      </c>
      <c r="M10" s="33">
        <v>0</v>
      </c>
      <c r="N10" s="33">
        <v>0</v>
      </c>
      <c r="O10" s="33">
        <v>2</v>
      </c>
      <c r="P10" s="33">
        <v>2</v>
      </c>
      <c r="Q10" s="33">
        <v>2</v>
      </c>
      <c r="R10" s="33">
        <v>2</v>
      </c>
      <c r="S10" s="33">
        <v>0</v>
      </c>
      <c r="T10" s="33">
        <v>0</v>
      </c>
      <c r="U10" s="33">
        <v>0</v>
      </c>
      <c r="V10" s="33">
        <v>0</v>
      </c>
      <c r="W10" s="33">
        <v>0</v>
      </c>
      <c r="X10" s="33">
        <v>0</v>
      </c>
      <c r="Y10" s="33">
        <v>0</v>
      </c>
      <c r="Z10" s="33">
        <v>0</v>
      </c>
      <c r="AA10" s="33">
        <v>0</v>
      </c>
      <c r="AB10" s="33">
        <v>0</v>
      </c>
      <c r="AC10" s="33">
        <v>0</v>
      </c>
      <c r="AD10" s="33">
        <v>0</v>
      </c>
      <c r="AE10" s="33">
        <v>0</v>
      </c>
      <c r="AF10" s="33">
        <v>0</v>
      </c>
    </row>
    <row r="11" spans="2:39" ht="13.5" customHeight="1" x14ac:dyDescent="0.3">
      <c r="B11" s="28" t="s">
        <v>144</v>
      </c>
      <c r="C11" s="103"/>
      <c r="D11" s="46" t="s">
        <v>245</v>
      </c>
      <c r="E11" s="78" t="s">
        <v>151</v>
      </c>
      <c r="F11" s="29" t="s">
        <v>137</v>
      </c>
      <c r="G11" s="29">
        <v>8</v>
      </c>
      <c r="H11" s="106">
        <v>8</v>
      </c>
      <c r="I11" s="106">
        <f t="shared" si="0"/>
        <v>0</v>
      </c>
      <c r="J11" s="106">
        <v>6</v>
      </c>
      <c r="K11" s="106">
        <f t="shared" si="1"/>
        <v>-2</v>
      </c>
      <c r="L11" s="33">
        <v>0</v>
      </c>
      <c r="M11" s="33">
        <v>0</v>
      </c>
      <c r="N11" s="33">
        <v>0</v>
      </c>
      <c r="O11" s="33">
        <v>2</v>
      </c>
      <c r="P11" s="33">
        <v>2</v>
      </c>
      <c r="Q11" s="33">
        <v>2</v>
      </c>
      <c r="R11" s="33">
        <v>2</v>
      </c>
      <c r="S11" s="33">
        <v>0</v>
      </c>
      <c r="T11" s="33">
        <v>0</v>
      </c>
      <c r="U11" s="33">
        <v>0</v>
      </c>
      <c r="V11" s="33">
        <v>0</v>
      </c>
      <c r="W11" s="33">
        <v>0</v>
      </c>
      <c r="X11" s="33">
        <v>0</v>
      </c>
      <c r="Y11" s="33">
        <v>0</v>
      </c>
      <c r="Z11" s="33">
        <v>0</v>
      </c>
      <c r="AA11" s="33">
        <v>0</v>
      </c>
      <c r="AB11" s="33">
        <v>0</v>
      </c>
      <c r="AC11" s="33">
        <v>0</v>
      </c>
      <c r="AD11" s="33">
        <v>0</v>
      </c>
      <c r="AE11" s="33">
        <v>0</v>
      </c>
      <c r="AF11" s="33">
        <v>0</v>
      </c>
    </row>
    <row r="12" spans="2:39" ht="13.5" customHeight="1" x14ac:dyDescent="0.3">
      <c r="B12" s="28" t="s">
        <v>147</v>
      </c>
      <c r="C12" s="103"/>
      <c r="D12" s="46" t="s">
        <v>298</v>
      </c>
      <c r="E12" s="78" t="s">
        <v>154</v>
      </c>
      <c r="F12" s="29" t="s">
        <v>137</v>
      </c>
      <c r="G12" s="29">
        <v>5</v>
      </c>
      <c r="H12" s="106">
        <v>5</v>
      </c>
      <c r="I12" s="106">
        <f t="shared" si="0"/>
        <v>0</v>
      </c>
      <c r="J12" s="106">
        <v>5</v>
      </c>
      <c r="K12" s="106">
        <f t="shared" si="1"/>
        <v>0</v>
      </c>
      <c r="L12" s="33">
        <v>0</v>
      </c>
      <c r="M12" s="33">
        <v>0</v>
      </c>
      <c r="N12" s="33">
        <v>0</v>
      </c>
      <c r="O12" s="33">
        <v>0</v>
      </c>
      <c r="P12" s="33">
        <v>0</v>
      </c>
      <c r="Q12" s="33">
        <v>1</v>
      </c>
      <c r="R12" s="33">
        <v>2</v>
      </c>
      <c r="S12" s="33">
        <v>2</v>
      </c>
      <c r="T12" s="33">
        <v>0</v>
      </c>
      <c r="U12" s="33">
        <v>0</v>
      </c>
      <c r="V12" s="33">
        <v>0</v>
      </c>
      <c r="W12" s="33">
        <v>0</v>
      </c>
      <c r="X12" s="33">
        <v>0</v>
      </c>
      <c r="Y12" s="33">
        <v>0</v>
      </c>
      <c r="Z12" s="33">
        <v>0</v>
      </c>
      <c r="AA12" s="33">
        <v>0</v>
      </c>
      <c r="AB12" s="33">
        <v>0</v>
      </c>
      <c r="AC12" s="33">
        <v>0</v>
      </c>
      <c r="AD12" s="33">
        <v>0</v>
      </c>
      <c r="AE12" s="33">
        <v>0</v>
      </c>
      <c r="AF12" s="33">
        <v>0</v>
      </c>
    </row>
    <row r="13" spans="2:39" ht="13.5" customHeight="1" x14ac:dyDescent="0.3">
      <c r="B13" s="28" t="s">
        <v>149</v>
      </c>
      <c r="C13" s="103"/>
      <c r="D13" s="46" t="s">
        <v>299</v>
      </c>
      <c r="E13" s="78" t="s">
        <v>143</v>
      </c>
      <c r="F13" s="29" t="s">
        <v>137</v>
      </c>
      <c r="G13" s="29">
        <v>3</v>
      </c>
      <c r="H13" s="106">
        <v>3</v>
      </c>
      <c r="I13" s="106">
        <f t="shared" si="0"/>
        <v>0</v>
      </c>
      <c r="J13" s="106">
        <v>4</v>
      </c>
      <c r="K13" s="106">
        <f t="shared" si="1"/>
        <v>1</v>
      </c>
      <c r="L13" s="33">
        <v>0</v>
      </c>
      <c r="M13" s="33">
        <v>1</v>
      </c>
      <c r="N13" s="33">
        <v>1</v>
      </c>
      <c r="O13" s="33">
        <v>1</v>
      </c>
      <c r="P13" s="33">
        <v>0</v>
      </c>
      <c r="Q13" s="33">
        <v>0</v>
      </c>
      <c r="R13" s="33">
        <v>0</v>
      </c>
      <c r="S13" s="33">
        <v>0</v>
      </c>
      <c r="T13" s="33">
        <v>0</v>
      </c>
      <c r="U13" s="33">
        <v>0</v>
      </c>
      <c r="V13" s="33">
        <v>0</v>
      </c>
      <c r="W13" s="33">
        <v>0</v>
      </c>
      <c r="X13" s="33">
        <v>0</v>
      </c>
      <c r="Y13" s="33">
        <v>0</v>
      </c>
      <c r="Z13" s="33">
        <v>0</v>
      </c>
      <c r="AA13" s="33">
        <v>0</v>
      </c>
      <c r="AB13" s="33">
        <v>0</v>
      </c>
      <c r="AC13" s="33">
        <v>0</v>
      </c>
      <c r="AD13" s="33">
        <v>0</v>
      </c>
      <c r="AE13" s="33">
        <v>0</v>
      </c>
      <c r="AF13" s="33">
        <v>0</v>
      </c>
    </row>
    <row r="14" spans="2:39" ht="13.5" customHeight="1" x14ac:dyDescent="0.3">
      <c r="B14" s="28" t="s">
        <v>152</v>
      </c>
      <c r="C14" s="103"/>
      <c r="D14" s="46" t="s">
        <v>300</v>
      </c>
      <c r="E14" s="78" t="s">
        <v>136</v>
      </c>
      <c r="F14" s="29" t="s">
        <v>137</v>
      </c>
      <c r="G14" s="29">
        <v>3</v>
      </c>
      <c r="H14" s="106">
        <v>3</v>
      </c>
      <c r="I14" s="106">
        <f t="shared" si="0"/>
        <v>0</v>
      </c>
      <c r="J14" s="106">
        <v>3</v>
      </c>
      <c r="K14" s="106">
        <f t="shared" si="1"/>
        <v>0</v>
      </c>
      <c r="L14" s="33">
        <v>0</v>
      </c>
      <c r="M14" s="33">
        <v>1</v>
      </c>
      <c r="N14" s="33">
        <v>1</v>
      </c>
      <c r="O14" s="33">
        <v>1</v>
      </c>
      <c r="P14" s="33">
        <v>0</v>
      </c>
      <c r="Q14" s="33">
        <v>0</v>
      </c>
      <c r="R14" s="33">
        <v>0</v>
      </c>
      <c r="S14" s="33">
        <v>0</v>
      </c>
      <c r="T14" s="33">
        <v>0</v>
      </c>
      <c r="U14" s="33">
        <v>0</v>
      </c>
      <c r="V14" s="33">
        <v>0</v>
      </c>
      <c r="W14" s="33">
        <v>0</v>
      </c>
      <c r="X14" s="33">
        <v>0</v>
      </c>
      <c r="Y14" s="33">
        <v>0</v>
      </c>
      <c r="Z14" s="33">
        <v>0</v>
      </c>
      <c r="AA14" s="33">
        <v>0</v>
      </c>
      <c r="AB14" s="33">
        <v>0</v>
      </c>
      <c r="AC14" s="33">
        <v>0</v>
      </c>
      <c r="AD14" s="33">
        <v>0</v>
      </c>
      <c r="AE14" s="33">
        <v>0</v>
      </c>
      <c r="AF14" s="33">
        <v>0</v>
      </c>
    </row>
    <row r="15" spans="2:39" ht="13.5" customHeight="1" x14ac:dyDescent="0.3">
      <c r="B15" s="36"/>
      <c r="C15" s="110"/>
      <c r="D15" s="190"/>
      <c r="E15" s="111"/>
      <c r="F15" s="37"/>
      <c r="G15" s="110"/>
      <c r="H15" s="110"/>
      <c r="I15" s="110"/>
      <c r="J15" s="110"/>
      <c r="K15" s="110"/>
      <c r="L15" s="110"/>
      <c r="M15" s="110"/>
      <c r="N15" s="110"/>
      <c r="O15" s="110"/>
      <c r="P15" s="110"/>
      <c r="Q15" s="110"/>
      <c r="R15" s="112"/>
      <c r="S15" s="112"/>
      <c r="T15" s="112"/>
      <c r="U15" s="112"/>
      <c r="V15" s="112"/>
      <c r="W15" s="112"/>
      <c r="X15" s="112"/>
      <c r="Y15" s="112"/>
      <c r="Z15" s="112"/>
      <c r="AA15" s="112"/>
      <c r="AB15" s="112"/>
      <c r="AC15" s="112"/>
      <c r="AD15" s="112"/>
      <c r="AE15" s="112"/>
      <c r="AF15" s="112"/>
    </row>
    <row r="16" spans="2:39" ht="13.5" customHeight="1" x14ac:dyDescent="0.3">
      <c r="B16" s="28" t="s">
        <v>155</v>
      </c>
      <c r="C16" s="194" t="s">
        <v>416</v>
      </c>
      <c r="D16" s="192" t="s">
        <v>728</v>
      </c>
      <c r="E16" s="181" t="s">
        <v>136</v>
      </c>
      <c r="F16" s="29" t="s">
        <v>137</v>
      </c>
      <c r="G16" s="103">
        <v>5</v>
      </c>
      <c r="H16" s="106">
        <v>5</v>
      </c>
      <c r="I16" s="106">
        <f t="shared" ref="I16:I30" si="2">G16-H16</f>
        <v>0</v>
      </c>
      <c r="J16" s="106">
        <v>6</v>
      </c>
      <c r="K16" s="106">
        <f t="shared" ref="K16:K30" si="3">SUM(J16-G16)</f>
        <v>1</v>
      </c>
      <c r="L16" s="33">
        <v>0</v>
      </c>
      <c r="M16" s="33">
        <v>0</v>
      </c>
      <c r="N16" s="33">
        <v>0</v>
      </c>
      <c r="O16" s="33">
        <v>2</v>
      </c>
      <c r="P16" s="33">
        <v>2</v>
      </c>
      <c r="Q16" s="33">
        <v>1</v>
      </c>
      <c r="R16" s="33">
        <v>0</v>
      </c>
      <c r="S16" s="33">
        <v>0</v>
      </c>
      <c r="T16" s="33">
        <v>0</v>
      </c>
      <c r="U16" s="33">
        <v>0</v>
      </c>
      <c r="V16" s="33">
        <v>0</v>
      </c>
      <c r="W16" s="33">
        <v>0</v>
      </c>
      <c r="X16" s="33">
        <v>0</v>
      </c>
      <c r="Y16" s="33">
        <v>0</v>
      </c>
      <c r="Z16" s="33">
        <v>0</v>
      </c>
      <c r="AA16" s="33">
        <v>0</v>
      </c>
      <c r="AB16" s="33">
        <v>0</v>
      </c>
      <c r="AC16" s="33">
        <v>0</v>
      </c>
      <c r="AD16" s="33">
        <v>0</v>
      </c>
      <c r="AE16" s="33">
        <v>0</v>
      </c>
      <c r="AF16" s="33">
        <v>0</v>
      </c>
    </row>
    <row r="17" spans="2:32" ht="13.5" customHeight="1" x14ac:dyDescent="0.3">
      <c r="B17" s="28" t="s">
        <v>157</v>
      </c>
      <c r="C17" s="194" t="s">
        <v>417</v>
      </c>
      <c r="D17" s="192" t="s">
        <v>255</v>
      </c>
      <c r="E17" s="181" t="s">
        <v>146</v>
      </c>
      <c r="F17" s="29" t="s">
        <v>137</v>
      </c>
      <c r="G17" s="103">
        <v>5</v>
      </c>
      <c r="H17" s="106">
        <v>0</v>
      </c>
      <c r="I17" s="106">
        <f t="shared" si="2"/>
        <v>5</v>
      </c>
      <c r="J17" s="106">
        <v>0</v>
      </c>
      <c r="K17" s="106">
        <f t="shared" si="3"/>
        <v>-5</v>
      </c>
      <c r="L17" s="33">
        <v>0</v>
      </c>
      <c r="M17" s="33">
        <v>0</v>
      </c>
      <c r="N17" s="33">
        <v>0</v>
      </c>
      <c r="O17" s="33">
        <v>0</v>
      </c>
      <c r="P17" s="33">
        <v>0</v>
      </c>
      <c r="Q17" s="33">
        <v>0</v>
      </c>
      <c r="R17" s="33">
        <v>0</v>
      </c>
      <c r="S17" s="33">
        <v>0</v>
      </c>
      <c r="T17" s="33">
        <v>0</v>
      </c>
      <c r="U17" s="33">
        <v>0</v>
      </c>
      <c r="V17" s="33">
        <v>0</v>
      </c>
      <c r="W17" s="33">
        <v>0</v>
      </c>
      <c r="X17" s="33">
        <v>0</v>
      </c>
      <c r="Y17" s="33">
        <v>0</v>
      </c>
      <c r="Z17" s="33">
        <v>0</v>
      </c>
      <c r="AA17" s="33">
        <v>0</v>
      </c>
      <c r="AB17" s="33">
        <v>0</v>
      </c>
      <c r="AC17" s="33">
        <v>0</v>
      </c>
      <c r="AD17" s="33">
        <v>0</v>
      </c>
      <c r="AE17" s="33">
        <v>0</v>
      </c>
      <c r="AF17" s="33">
        <v>0</v>
      </c>
    </row>
    <row r="18" spans="2:32" ht="13.5" customHeight="1" x14ac:dyDescent="0.3">
      <c r="B18" s="28" t="s">
        <v>159</v>
      </c>
      <c r="C18" s="194" t="s">
        <v>418</v>
      </c>
      <c r="D18" s="192" t="s">
        <v>256</v>
      </c>
      <c r="E18" s="181" t="s">
        <v>136</v>
      </c>
      <c r="F18" s="29" t="s">
        <v>137</v>
      </c>
      <c r="G18" s="103">
        <v>4</v>
      </c>
      <c r="H18" s="106">
        <v>4</v>
      </c>
      <c r="I18" s="106">
        <f t="shared" si="2"/>
        <v>0</v>
      </c>
      <c r="J18" s="106">
        <v>6</v>
      </c>
      <c r="K18" s="106">
        <f t="shared" si="3"/>
        <v>2</v>
      </c>
      <c r="L18" s="33">
        <v>0</v>
      </c>
      <c r="M18" s="33">
        <v>0</v>
      </c>
      <c r="N18" s="33">
        <v>0</v>
      </c>
      <c r="O18" s="33">
        <v>1</v>
      </c>
      <c r="P18" s="33">
        <v>1</v>
      </c>
      <c r="Q18" s="33">
        <v>0</v>
      </c>
      <c r="R18" s="33">
        <v>1</v>
      </c>
      <c r="S18" s="33">
        <v>1</v>
      </c>
      <c r="T18" s="33">
        <v>0</v>
      </c>
      <c r="U18" s="33">
        <v>0</v>
      </c>
      <c r="V18" s="33">
        <v>0</v>
      </c>
      <c r="W18" s="33">
        <v>0</v>
      </c>
      <c r="X18" s="33">
        <v>0</v>
      </c>
      <c r="Y18" s="33">
        <v>0</v>
      </c>
      <c r="Z18" s="33">
        <v>0</v>
      </c>
      <c r="AA18" s="33">
        <v>0</v>
      </c>
      <c r="AB18" s="33">
        <v>0</v>
      </c>
      <c r="AC18" s="33">
        <v>0</v>
      </c>
      <c r="AD18" s="33">
        <v>0</v>
      </c>
      <c r="AE18" s="33">
        <v>0</v>
      </c>
      <c r="AF18" s="33">
        <v>0</v>
      </c>
    </row>
    <row r="19" spans="2:32" ht="13.5" customHeight="1" x14ac:dyDescent="0.3">
      <c r="B19" s="28" t="s">
        <v>161</v>
      </c>
      <c r="C19" s="194" t="s">
        <v>419</v>
      </c>
      <c r="D19" s="192" t="s">
        <v>301</v>
      </c>
      <c r="E19" s="181" t="s">
        <v>136</v>
      </c>
      <c r="F19" s="29" t="s">
        <v>137</v>
      </c>
      <c r="G19" s="103">
        <v>5</v>
      </c>
      <c r="H19" s="106">
        <v>5</v>
      </c>
      <c r="I19" s="106">
        <f t="shared" si="2"/>
        <v>0</v>
      </c>
      <c r="J19" s="106">
        <v>5</v>
      </c>
      <c r="K19" s="106">
        <f t="shared" si="3"/>
        <v>0</v>
      </c>
      <c r="L19" s="33">
        <v>0</v>
      </c>
      <c r="M19" s="33">
        <v>0</v>
      </c>
      <c r="N19" s="33">
        <v>0</v>
      </c>
      <c r="O19" s="33">
        <v>0</v>
      </c>
      <c r="P19" s="33">
        <v>0</v>
      </c>
      <c r="Q19" s="33">
        <v>0</v>
      </c>
      <c r="R19" s="33">
        <v>1</v>
      </c>
      <c r="S19" s="33">
        <v>0</v>
      </c>
      <c r="T19" s="33">
        <v>0</v>
      </c>
      <c r="U19" s="33">
        <v>1</v>
      </c>
      <c r="V19" s="33">
        <v>1</v>
      </c>
      <c r="W19" s="33">
        <v>1</v>
      </c>
      <c r="X19" s="33">
        <v>1</v>
      </c>
      <c r="Y19" s="33">
        <v>0</v>
      </c>
      <c r="Z19" s="33">
        <v>0</v>
      </c>
      <c r="AA19" s="33">
        <v>0</v>
      </c>
      <c r="AB19" s="33">
        <v>0</v>
      </c>
      <c r="AC19" s="33">
        <v>0</v>
      </c>
      <c r="AD19" s="33">
        <v>0</v>
      </c>
      <c r="AE19" s="33">
        <v>0</v>
      </c>
      <c r="AF19" s="33">
        <v>0</v>
      </c>
    </row>
    <row r="20" spans="2:32" ht="13.5" customHeight="1" x14ac:dyDescent="0.3">
      <c r="B20" s="28" t="s">
        <v>163</v>
      </c>
      <c r="C20" s="194" t="s">
        <v>421</v>
      </c>
      <c r="D20" s="193" t="s">
        <v>302</v>
      </c>
      <c r="E20" s="181" t="s">
        <v>136</v>
      </c>
      <c r="F20" s="29" t="s">
        <v>137</v>
      </c>
      <c r="G20" s="103">
        <v>5</v>
      </c>
      <c r="H20" s="106">
        <v>5</v>
      </c>
      <c r="I20" s="106">
        <f t="shared" si="2"/>
        <v>0</v>
      </c>
      <c r="J20" s="106">
        <v>5</v>
      </c>
      <c r="K20" s="106">
        <f t="shared" si="3"/>
        <v>0</v>
      </c>
      <c r="L20" s="33">
        <v>0</v>
      </c>
      <c r="M20" s="33">
        <v>0</v>
      </c>
      <c r="N20" s="33">
        <v>0</v>
      </c>
      <c r="O20" s="33">
        <v>0</v>
      </c>
      <c r="P20" s="33">
        <v>1</v>
      </c>
      <c r="Q20" s="33">
        <v>1</v>
      </c>
      <c r="R20" s="33">
        <v>1</v>
      </c>
      <c r="S20" s="33">
        <v>2</v>
      </c>
      <c r="T20" s="33">
        <v>0</v>
      </c>
      <c r="U20" s="33">
        <v>0</v>
      </c>
      <c r="V20" s="33">
        <v>0</v>
      </c>
      <c r="W20" s="33">
        <v>0</v>
      </c>
      <c r="X20" s="33">
        <v>0</v>
      </c>
      <c r="Y20" s="33">
        <v>0</v>
      </c>
      <c r="Z20" s="33">
        <v>0</v>
      </c>
      <c r="AA20" s="33">
        <v>0</v>
      </c>
      <c r="AB20" s="33">
        <v>0</v>
      </c>
      <c r="AC20" s="33">
        <v>0</v>
      </c>
      <c r="AD20" s="33">
        <v>0</v>
      </c>
      <c r="AE20" s="33">
        <v>0</v>
      </c>
      <c r="AF20" s="33">
        <v>0</v>
      </c>
    </row>
    <row r="21" spans="2:32" ht="13.5" customHeight="1" x14ac:dyDescent="0.3">
      <c r="B21" s="28" t="s">
        <v>165</v>
      </c>
      <c r="C21" s="194" t="s">
        <v>422</v>
      </c>
      <c r="D21" s="192" t="s">
        <v>304</v>
      </c>
      <c r="E21" s="181" t="s">
        <v>136</v>
      </c>
      <c r="F21" s="29" t="s">
        <v>137</v>
      </c>
      <c r="G21" s="103">
        <v>5</v>
      </c>
      <c r="H21" s="106">
        <v>6</v>
      </c>
      <c r="I21" s="106">
        <f t="shared" si="2"/>
        <v>-1</v>
      </c>
      <c r="J21" s="106">
        <v>7</v>
      </c>
      <c r="K21" s="106">
        <f t="shared" si="3"/>
        <v>2</v>
      </c>
      <c r="L21" s="33">
        <v>0</v>
      </c>
      <c r="M21" s="33">
        <v>0</v>
      </c>
      <c r="N21" s="33">
        <v>0</v>
      </c>
      <c r="O21" s="33">
        <v>0</v>
      </c>
      <c r="P21" s="33">
        <v>0</v>
      </c>
      <c r="Q21" s="33">
        <v>0</v>
      </c>
      <c r="R21" s="33">
        <v>2</v>
      </c>
      <c r="S21" s="33">
        <v>2</v>
      </c>
      <c r="T21" s="33">
        <v>2</v>
      </c>
      <c r="U21" s="33">
        <v>0</v>
      </c>
      <c r="V21" s="33">
        <v>0</v>
      </c>
      <c r="W21" s="33">
        <v>0</v>
      </c>
      <c r="X21" s="33">
        <v>0</v>
      </c>
      <c r="Y21" s="33">
        <v>0</v>
      </c>
      <c r="Z21" s="33">
        <v>0</v>
      </c>
      <c r="AA21" s="33">
        <v>0</v>
      </c>
      <c r="AB21" s="33">
        <v>0</v>
      </c>
      <c r="AC21" s="33">
        <v>0</v>
      </c>
      <c r="AD21" s="33">
        <v>0</v>
      </c>
      <c r="AE21" s="33">
        <v>0</v>
      </c>
      <c r="AF21" s="33">
        <v>0</v>
      </c>
    </row>
    <row r="22" spans="2:32" ht="13.5" customHeight="1" x14ac:dyDescent="0.3">
      <c r="B22" s="28" t="s">
        <v>167</v>
      </c>
      <c r="C22" s="194" t="s">
        <v>423</v>
      </c>
      <c r="D22" s="192" t="s">
        <v>729</v>
      </c>
      <c r="E22" s="181" t="s">
        <v>154</v>
      </c>
      <c r="F22" s="29" t="s">
        <v>137</v>
      </c>
      <c r="G22" s="103">
        <v>5</v>
      </c>
      <c r="H22" s="106">
        <v>5</v>
      </c>
      <c r="I22" s="106">
        <f t="shared" si="2"/>
        <v>0</v>
      </c>
      <c r="J22" s="106">
        <v>6</v>
      </c>
      <c r="K22" s="106">
        <f t="shared" si="3"/>
        <v>1</v>
      </c>
      <c r="L22" s="33">
        <v>0</v>
      </c>
      <c r="M22" s="33">
        <v>0</v>
      </c>
      <c r="N22" s="33">
        <v>0</v>
      </c>
      <c r="O22" s="33">
        <v>0</v>
      </c>
      <c r="P22" s="33">
        <v>0</v>
      </c>
      <c r="Q22" s="33">
        <v>1</v>
      </c>
      <c r="R22" s="33">
        <v>1</v>
      </c>
      <c r="S22" s="33">
        <v>1</v>
      </c>
      <c r="T22" s="33">
        <v>1</v>
      </c>
      <c r="U22" s="33">
        <v>1</v>
      </c>
      <c r="V22" s="33">
        <v>0</v>
      </c>
      <c r="W22" s="33">
        <v>0</v>
      </c>
      <c r="X22" s="33">
        <v>0</v>
      </c>
      <c r="Y22" s="33">
        <v>0</v>
      </c>
      <c r="Z22" s="33">
        <v>0</v>
      </c>
      <c r="AA22" s="33">
        <v>0</v>
      </c>
      <c r="AB22" s="33">
        <v>0</v>
      </c>
      <c r="AC22" s="33">
        <v>0</v>
      </c>
      <c r="AD22" s="33">
        <v>0</v>
      </c>
      <c r="AE22" s="33">
        <v>0</v>
      </c>
      <c r="AF22" s="33">
        <v>0</v>
      </c>
    </row>
    <row r="23" spans="2:32" ht="13.5" customHeight="1" x14ac:dyDescent="0.3">
      <c r="B23" s="28" t="s">
        <v>169</v>
      </c>
      <c r="C23" s="194" t="s">
        <v>424</v>
      </c>
      <c r="D23" s="192" t="s">
        <v>305</v>
      </c>
      <c r="E23" s="181" t="s">
        <v>154</v>
      </c>
      <c r="F23" s="29" t="s">
        <v>137</v>
      </c>
      <c r="G23" s="103">
        <v>5</v>
      </c>
      <c r="H23" s="106">
        <v>7</v>
      </c>
      <c r="I23" s="106">
        <f t="shared" si="2"/>
        <v>-2</v>
      </c>
      <c r="J23" s="106">
        <v>9</v>
      </c>
      <c r="K23" s="106">
        <f t="shared" si="3"/>
        <v>4</v>
      </c>
      <c r="L23" s="33">
        <v>0</v>
      </c>
      <c r="M23" s="33">
        <v>0</v>
      </c>
      <c r="N23" s="33">
        <v>0</v>
      </c>
      <c r="O23" s="33">
        <v>0</v>
      </c>
      <c r="P23" s="33">
        <v>0</v>
      </c>
      <c r="Q23" s="33">
        <v>0</v>
      </c>
      <c r="R23" s="33">
        <v>0</v>
      </c>
      <c r="S23" s="33">
        <v>0</v>
      </c>
      <c r="T23" s="33">
        <v>2</v>
      </c>
      <c r="U23" s="33">
        <v>2</v>
      </c>
      <c r="V23" s="33">
        <v>2</v>
      </c>
      <c r="W23" s="33">
        <v>1</v>
      </c>
      <c r="X23" s="33">
        <v>0</v>
      </c>
      <c r="Y23" s="33">
        <v>0</v>
      </c>
      <c r="Z23" s="33">
        <v>0</v>
      </c>
      <c r="AA23" s="33">
        <v>0</v>
      </c>
      <c r="AB23" s="33">
        <v>0</v>
      </c>
      <c r="AC23" s="33">
        <v>0</v>
      </c>
      <c r="AD23" s="33">
        <v>0</v>
      </c>
      <c r="AE23" s="33">
        <v>0</v>
      </c>
      <c r="AF23" s="33">
        <v>0</v>
      </c>
    </row>
    <row r="24" spans="2:32" ht="13.5" customHeight="1" x14ac:dyDescent="0.3">
      <c r="B24" s="28" t="s">
        <v>171</v>
      </c>
      <c r="C24" s="194" t="s">
        <v>425</v>
      </c>
      <c r="D24" s="192" t="s">
        <v>730</v>
      </c>
      <c r="E24" s="180" t="s">
        <v>146</v>
      </c>
      <c r="F24" s="29" t="s">
        <v>137</v>
      </c>
      <c r="G24" s="103">
        <v>5</v>
      </c>
      <c r="H24" s="106">
        <v>5</v>
      </c>
      <c r="I24" s="106">
        <f t="shared" si="2"/>
        <v>0</v>
      </c>
      <c r="J24" s="106">
        <v>6</v>
      </c>
      <c r="K24" s="106">
        <f t="shared" si="3"/>
        <v>1</v>
      </c>
      <c r="L24" s="33">
        <v>0</v>
      </c>
      <c r="M24" s="33">
        <v>0</v>
      </c>
      <c r="N24" s="33">
        <v>0</v>
      </c>
      <c r="O24" s="33">
        <v>0</v>
      </c>
      <c r="P24" s="33">
        <v>0</v>
      </c>
      <c r="Q24" s="33">
        <v>0</v>
      </c>
      <c r="R24" s="33">
        <v>0</v>
      </c>
      <c r="S24" s="33">
        <v>1</v>
      </c>
      <c r="T24" s="33">
        <v>1</v>
      </c>
      <c r="U24" s="33">
        <v>1</v>
      </c>
      <c r="V24" s="33">
        <v>1</v>
      </c>
      <c r="W24" s="33">
        <v>0</v>
      </c>
      <c r="X24" s="33">
        <v>1</v>
      </c>
      <c r="Y24" s="33">
        <v>0</v>
      </c>
      <c r="Z24" s="33">
        <v>0</v>
      </c>
      <c r="AA24" s="33">
        <v>0</v>
      </c>
      <c r="AB24" s="33">
        <v>0</v>
      </c>
      <c r="AC24" s="33">
        <v>0</v>
      </c>
      <c r="AD24" s="33">
        <v>0</v>
      </c>
      <c r="AE24" s="33">
        <v>0</v>
      </c>
      <c r="AF24" s="33">
        <v>0</v>
      </c>
    </row>
    <row r="25" spans="2:32" ht="13.5" customHeight="1" x14ac:dyDescent="0.3">
      <c r="B25" s="28" t="s">
        <v>172</v>
      </c>
      <c r="C25" s="194" t="s">
        <v>616</v>
      </c>
      <c r="D25" s="192" t="s">
        <v>731</v>
      </c>
      <c r="E25" s="180" t="s">
        <v>146</v>
      </c>
      <c r="F25" s="29" t="s">
        <v>137</v>
      </c>
      <c r="G25" s="103">
        <v>5</v>
      </c>
      <c r="H25" s="106">
        <v>6</v>
      </c>
      <c r="I25" s="106">
        <f t="shared" si="2"/>
        <v>-1</v>
      </c>
      <c r="J25" s="106">
        <v>7</v>
      </c>
      <c r="K25" s="106">
        <f t="shared" si="3"/>
        <v>2</v>
      </c>
      <c r="L25" s="33">
        <v>0</v>
      </c>
      <c r="M25" s="33">
        <v>0</v>
      </c>
      <c r="N25" s="33">
        <v>0</v>
      </c>
      <c r="O25" s="33">
        <v>0</v>
      </c>
      <c r="P25" s="33">
        <v>0</v>
      </c>
      <c r="Q25" s="33">
        <v>0</v>
      </c>
      <c r="R25" s="33">
        <v>0</v>
      </c>
      <c r="S25" s="33">
        <v>0</v>
      </c>
      <c r="T25" s="33">
        <v>0</v>
      </c>
      <c r="U25" s="33">
        <v>0</v>
      </c>
      <c r="V25" s="33">
        <v>0</v>
      </c>
      <c r="W25" s="33">
        <v>2</v>
      </c>
      <c r="X25" s="33">
        <v>2</v>
      </c>
      <c r="Y25" s="33">
        <v>2</v>
      </c>
      <c r="Z25" s="33">
        <v>0</v>
      </c>
      <c r="AA25" s="33">
        <v>0</v>
      </c>
      <c r="AB25" s="33">
        <v>0</v>
      </c>
      <c r="AC25" s="33">
        <v>0</v>
      </c>
      <c r="AD25" s="33">
        <v>0</v>
      </c>
      <c r="AE25" s="33">
        <v>0</v>
      </c>
      <c r="AF25" s="33">
        <v>0</v>
      </c>
    </row>
    <row r="26" spans="2:32" ht="13.5" customHeight="1" x14ac:dyDescent="0.3">
      <c r="B26" s="28" t="s">
        <v>173</v>
      </c>
      <c r="C26" s="194" t="s">
        <v>691</v>
      </c>
      <c r="D26" s="192" t="s">
        <v>732</v>
      </c>
      <c r="E26" s="181" t="s">
        <v>143</v>
      </c>
      <c r="F26" s="29" t="s">
        <v>137</v>
      </c>
      <c r="G26" s="103">
        <v>5</v>
      </c>
      <c r="H26" s="106">
        <v>5</v>
      </c>
      <c r="I26" s="106">
        <f t="shared" si="2"/>
        <v>0</v>
      </c>
      <c r="J26" s="106">
        <v>5</v>
      </c>
      <c r="K26" s="106">
        <f t="shared" si="3"/>
        <v>0</v>
      </c>
      <c r="L26" s="33">
        <v>0</v>
      </c>
      <c r="M26" s="33">
        <v>0</v>
      </c>
      <c r="N26" s="33">
        <v>0</v>
      </c>
      <c r="O26" s="33">
        <v>0</v>
      </c>
      <c r="P26" s="33">
        <v>0</v>
      </c>
      <c r="Q26" s="33">
        <v>0</v>
      </c>
      <c r="R26" s="33">
        <v>0</v>
      </c>
      <c r="S26" s="33">
        <v>0</v>
      </c>
      <c r="T26" s="33">
        <v>0</v>
      </c>
      <c r="U26" s="33">
        <v>1</v>
      </c>
      <c r="V26" s="33">
        <v>1</v>
      </c>
      <c r="W26" s="33">
        <v>1</v>
      </c>
      <c r="X26" s="33">
        <v>1</v>
      </c>
      <c r="Y26" s="33">
        <v>1</v>
      </c>
      <c r="Z26" s="33">
        <v>0</v>
      </c>
      <c r="AA26" s="33">
        <v>0</v>
      </c>
      <c r="AB26" s="33">
        <v>0</v>
      </c>
      <c r="AC26" s="33">
        <v>0</v>
      </c>
      <c r="AD26" s="33">
        <v>0</v>
      </c>
      <c r="AE26" s="33">
        <v>0</v>
      </c>
      <c r="AF26" s="33">
        <v>0</v>
      </c>
    </row>
    <row r="27" spans="2:32" ht="13.5" customHeight="1" x14ac:dyDescent="0.3">
      <c r="B27" s="28" t="s">
        <v>175</v>
      </c>
      <c r="C27" s="194" t="s">
        <v>692</v>
      </c>
      <c r="D27" s="192" t="s">
        <v>733</v>
      </c>
      <c r="E27" s="181" t="s">
        <v>146</v>
      </c>
      <c r="F27" s="29" t="s">
        <v>137</v>
      </c>
      <c r="G27" s="103"/>
      <c r="H27" s="106"/>
      <c r="I27" s="106"/>
      <c r="J27" s="106"/>
      <c r="K27" s="106"/>
      <c r="L27" s="33"/>
      <c r="M27" s="33"/>
      <c r="N27" s="33"/>
      <c r="O27" s="33"/>
      <c r="P27" s="33"/>
      <c r="Q27" s="33"/>
      <c r="R27" s="33"/>
      <c r="S27" s="33"/>
      <c r="T27" s="33"/>
      <c r="U27" s="33"/>
      <c r="V27" s="33"/>
      <c r="W27" s="33"/>
      <c r="X27" s="33"/>
      <c r="Y27" s="33"/>
      <c r="Z27" s="33"/>
      <c r="AA27" s="33"/>
      <c r="AB27" s="33"/>
      <c r="AC27" s="33"/>
      <c r="AD27" s="33"/>
      <c r="AE27" s="33"/>
      <c r="AF27" s="33"/>
    </row>
    <row r="28" spans="2:32" ht="13.5" customHeight="1" x14ac:dyDescent="0.3">
      <c r="B28" s="28" t="s">
        <v>177</v>
      </c>
      <c r="C28" s="194" t="s">
        <v>693</v>
      </c>
      <c r="D28" s="192" t="s">
        <v>734</v>
      </c>
      <c r="E28" s="181" t="s">
        <v>136</v>
      </c>
      <c r="F28" s="29" t="s">
        <v>137</v>
      </c>
      <c r="G28" s="103"/>
      <c r="H28" s="106"/>
      <c r="I28" s="106"/>
      <c r="J28" s="106"/>
      <c r="K28" s="106"/>
      <c r="L28" s="33"/>
      <c r="M28" s="33"/>
      <c r="N28" s="33"/>
      <c r="O28" s="33"/>
      <c r="P28" s="33"/>
      <c r="Q28" s="33"/>
      <c r="R28" s="33"/>
      <c r="S28" s="33"/>
      <c r="T28" s="33"/>
      <c r="U28" s="33"/>
      <c r="V28" s="33"/>
      <c r="W28" s="33"/>
      <c r="X28" s="33"/>
      <c r="Y28" s="33"/>
      <c r="Z28" s="33"/>
      <c r="AA28" s="33"/>
      <c r="AB28" s="33"/>
      <c r="AC28" s="33"/>
      <c r="AD28" s="33"/>
      <c r="AE28" s="33"/>
      <c r="AF28" s="33"/>
    </row>
    <row r="29" spans="2:32" ht="13.5" customHeight="1" x14ac:dyDescent="0.3">
      <c r="B29" s="28" t="s">
        <v>179</v>
      </c>
      <c r="C29" s="194" t="s">
        <v>694</v>
      </c>
      <c r="D29" s="192" t="s">
        <v>735</v>
      </c>
      <c r="E29" s="181" t="s">
        <v>151</v>
      </c>
      <c r="F29" s="29" t="s">
        <v>137</v>
      </c>
      <c r="G29" s="103"/>
      <c r="H29" s="106"/>
      <c r="I29" s="106"/>
      <c r="J29" s="106"/>
      <c r="K29" s="106"/>
      <c r="L29" s="33"/>
      <c r="M29" s="33"/>
      <c r="N29" s="33"/>
      <c r="O29" s="33"/>
      <c r="P29" s="33"/>
      <c r="Q29" s="33"/>
      <c r="R29" s="33"/>
      <c r="S29" s="33"/>
      <c r="T29" s="33"/>
      <c r="U29" s="33"/>
      <c r="V29" s="33"/>
      <c r="W29" s="33"/>
      <c r="X29" s="33"/>
      <c r="Y29" s="33"/>
      <c r="Z29" s="33"/>
      <c r="AA29" s="33"/>
      <c r="AB29" s="33"/>
      <c r="AC29" s="33"/>
      <c r="AD29" s="33"/>
      <c r="AE29" s="33"/>
      <c r="AF29" s="33"/>
    </row>
    <row r="30" spans="2:32" ht="13.5" customHeight="1" x14ac:dyDescent="0.3">
      <c r="B30" s="28" t="s">
        <v>180</v>
      </c>
      <c r="C30" s="194" t="s">
        <v>696</v>
      </c>
      <c r="D30" s="192" t="s">
        <v>736</v>
      </c>
      <c r="E30" s="180" t="s">
        <v>146</v>
      </c>
      <c r="F30" s="29" t="s">
        <v>137</v>
      </c>
      <c r="G30" s="103">
        <v>5</v>
      </c>
      <c r="H30" s="106">
        <v>6</v>
      </c>
      <c r="I30" s="106">
        <f t="shared" si="2"/>
        <v>-1</v>
      </c>
      <c r="J30" s="106">
        <v>6</v>
      </c>
      <c r="K30" s="106">
        <f t="shared" si="3"/>
        <v>1</v>
      </c>
      <c r="L30" s="33">
        <v>0</v>
      </c>
      <c r="M30" s="33">
        <v>0</v>
      </c>
      <c r="N30" s="33">
        <v>0</v>
      </c>
      <c r="O30" s="33">
        <v>0</v>
      </c>
      <c r="P30" s="33">
        <v>0</v>
      </c>
      <c r="Q30" s="33">
        <v>0</v>
      </c>
      <c r="R30" s="33">
        <v>0</v>
      </c>
      <c r="S30" s="33">
        <v>0</v>
      </c>
      <c r="T30" s="33">
        <v>0</v>
      </c>
      <c r="U30" s="33">
        <v>0</v>
      </c>
      <c r="V30" s="33">
        <v>0</v>
      </c>
      <c r="W30" s="33">
        <v>2</v>
      </c>
      <c r="X30" s="33">
        <v>2</v>
      </c>
      <c r="Y30" s="33">
        <v>2</v>
      </c>
      <c r="Z30" s="33">
        <v>0</v>
      </c>
      <c r="AA30" s="33">
        <v>0</v>
      </c>
      <c r="AB30" s="33">
        <v>0</v>
      </c>
      <c r="AC30" s="33">
        <v>0</v>
      </c>
      <c r="AD30" s="33">
        <v>0</v>
      </c>
      <c r="AE30" s="33">
        <v>0</v>
      </c>
      <c r="AF30" s="33">
        <v>0</v>
      </c>
    </row>
    <row r="31" spans="2:32" ht="13.5" customHeight="1" x14ac:dyDescent="0.3">
      <c r="B31" s="36"/>
      <c r="C31" s="44"/>
      <c r="D31" s="191"/>
      <c r="E31" s="113"/>
      <c r="F31" s="37"/>
      <c r="G31" s="110"/>
      <c r="H31" s="110"/>
      <c r="I31" s="110"/>
      <c r="J31" s="110"/>
      <c r="K31" s="110"/>
      <c r="L31" s="110"/>
      <c r="M31" s="110"/>
      <c r="N31" s="110"/>
      <c r="O31" s="110"/>
      <c r="P31" s="110"/>
      <c r="Q31" s="110"/>
      <c r="R31" s="112"/>
      <c r="S31" s="112"/>
      <c r="T31" s="112"/>
      <c r="U31" s="112"/>
      <c r="V31" s="112"/>
      <c r="W31" s="112"/>
      <c r="X31" s="112"/>
      <c r="Y31" s="112"/>
      <c r="Z31" s="112"/>
      <c r="AA31" s="112"/>
      <c r="AB31" s="112"/>
      <c r="AC31" s="112"/>
      <c r="AD31" s="112"/>
      <c r="AE31" s="112"/>
      <c r="AF31" s="112"/>
    </row>
    <row r="32" spans="2:32" ht="13.5" customHeight="1" x14ac:dyDescent="0.3">
      <c r="B32" s="28" t="s">
        <v>179</v>
      </c>
      <c r="C32" s="103" t="s">
        <v>416</v>
      </c>
      <c r="D32" s="40" t="s">
        <v>737</v>
      </c>
      <c r="E32" s="184" t="s">
        <v>136</v>
      </c>
      <c r="F32" s="29" t="s">
        <v>137</v>
      </c>
      <c r="G32" s="103">
        <v>10</v>
      </c>
      <c r="H32" s="106">
        <v>10</v>
      </c>
      <c r="I32" s="106">
        <f t="shared" ref="I32:I63" si="4">G32-H32</f>
        <v>0</v>
      </c>
      <c r="J32" s="106">
        <v>12</v>
      </c>
      <c r="K32" s="106">
        <f t="shared" ref="K32:K63" si="5">SUM(J32-G32)</f>
        <v>2</v>
      </c>
      <c r="L32" s="33">
        <v>0</v>
      </c>
      <c r="M32" s="33">
        <v>0</v>
      </c>
      <c r="N32" s="33">
        <v>0</v>
      </c>
      <c r="O32" s="33">
        <v>0</v>
      </c>
      <c r="P32" s="33">
        <v>2</v>
      </c>
      <c r="Q32" s="33">
        <v>2</v>
      </c>
      <c r="R32" s="33">
        <v>1</v>
      </c>
      <c r="S32" s="33">
        <v>1</v>
      </c>
      <c r="T32" s="33">
        <v>2</v>
      </c>
      <c r="U32" s="33">
        <v>2</v>
      </c>
      <c r="V32" s="33">
        <v>0</v>
      </c>
      <c r="W32" s="33">
        <v>0</v>
      </c>
      <c r="X32" s="33">
        <v>0</v>
      </c>
      <c r="Y32" s="33">
        <v>0</v>
      </c>
      <c r="Z32" s="33">
        <v>0</v>
      </c>
      <c r="AA32" s="33">
        <v>0</v>
      </c>
      <c r="AB32" s="33">
        <v>0</v>
      </c>
      <c r="AC32" s="33">
        <v>0</v>
      </c>
      <c r="AD32" s="33">
        <v>0</v>
      </c>
      <c r="AE32" s="33">
        <v>0</v>
      </c>
      <c r="AF32" s="33">
        <v>0</v>
      </c>
    </row>
    <row r="33" spans="2:32" ht="13.5" customHeight="1" x14ac:dyDescent="0.3">
      <c r="B33" s="28" t="s">
        <v>180</v>
      </c>
      <c r="C33" s="103" t="s">
        <v>416</v>
      </c>
      <c r="D33" s="40" t="s">
        <v>738</v>
      </c>
      <c r="E33" s="184" t="s">
        <v>136</v>
      </c>
      <c r="F33" s="29" t="s">
        <v>137</v>
      </c>
      <c r="G33" s="103">
        <v>5</v>
      </c>
      <c r="H33" s="106">
        <v>6</v>
      </c>
      <c r="I33" s="106">
        <f t="shared" si="4"/>
        <v>-1</v>
      </c>
      <c r="J33" s="106">
        <v>8</v>
      </c>
      <c r="K33" s="106">
        <f t="shared" si="5"/>
        <v>3</v>
      </c>
      <c r="L33" s="33">
        <v>0</v>
      </c>
      <c r="M33" s="33">
        <v>0</v>
      </c>
      <c r="N33" s="33">
        <v>0</v>
      </c>
      <c r="O33" s="33">
        <v>0</v>
      </c>
      <c r="P33" s="33">
        <v>0</v>
      </c>
      <c r="Q33" s="33">
        <v>1</v>
      </c>
      <c r="R33" s="33">
        <v>1</v>
      </c>
      <c r="S33" s="33">
        <v>1</v>
      </c>
      <c r="T33" s="33">
        <v>1</v>
      </c>
      <c r="U33" s="33">
        <v>1</v>
      </c>
      <c r="V33" s="33">
        <v>1</v>
      </c>
      <c r="W33" s="33">
        <v>0</v>
      </c>
      <c r="X33" s="33">
        <v>0</v>
      </c>
      <c r="Y33" s="33">
        <v>0</v>
      </c>
      <c r="Z33" s="33">
        <v>0</v>
      </c>
      <c r="AA33" s="33">
        <v>0</v>
      </c>
      <c r="AB33" s="33">
        <v>0</v>
      </c>
      <c r="AC33" s="33">
        <v>0</v>
      </c>
      <c r="AD33" s="33">
        <v>0</v>
      </c>
      <c r="AE33" s="33">
        <v>0</v>
      </c>
      <c r="AF33" s="33">
        <v>0</v>
      </c>
    </row>
    <row r="34" spans="2:32" ht="15" customHeight="1" x14ac:dyDescent="0.3">
      <c r="B34" s="28" t="s">
        <v>182</v>
      </c>
      <c r="C34" s="103" t="s">
        <v>417</v>
      </c>
      <c r="D34" s="84" t="s">
        <v>268</v>
      </c>
      <c r="E34" s="197" t="s">
        <v>146</v>
      </c>
      <c r="F34" s="29" t="s">
        <v>137</v>
      </c>
      <c r="G34" s="115">
        <v>5</v>
      </c>
      <c r="H34" s="106">
        <v>0</v>
      </c>
      <c r="I34" s="106">
        <f t="shared" si="4"/>
        <v>5</v>
      </c>
      <c r="J34" s="106">
        <v>0</v>
      </c>
      <c r="K34" s="116">
        <f t="shared" si="5"/>
        <v>-5</v>
      </c>
      <c r="L34" s="33">
        <v>0</v>
      </c>
      <c r="M34" s="33">
        <v>0</v>
      </c>
      <c r="N34" s="33">
        <v>0</v>
      </c>
      <c r="O34" s="33">
        <v>0</v>
      </c>
      <c r="P34" s="33">
        <v>0</v>
      </c>
      <c r="Q34" s="33">
        <v>0</v>
      </c>
      <c r="R34" s="33">
        <v>0</v>
      </c>
      <c r="S34" s="33">
        <v>0</v>
      </c>
      <c r="T34" s="33">
        <v>0</v>
      </c>
      <c r="U34" s="33">
        <v>0</v>
      </c>
      <c r="V34" s="33">
        <v>0</v>
      </c>
      <c r="W34" s="33">
        <v>0</v>
      </c>
      <c r="X34" s="33">
        <v>0</v>
      </c>
      <c r="Y34" s="33">
        <v>0</v>
      </c>
      <c r="Z34" s="33">
        <v>0</v>
      </c>
      <c r="AA34" s="33">
        <v>0</v>
      </c>
      <c r="AB34" s="33">
        <v>0</v>
      </c>
      <c r="AC34" s="33">
        <v>0</v>
      </c>
      <c r="AD34" s="33">
        <v>0</v>
      </c>
      <c r="AE34" s="33">
        <v>0</v>
      </c>
      <c r="AF34" s="33">
        <v>0</v>
      </c>
    </row>
    <row r="35" spans="2:32" ht="13.5" customHeight="1" x14ac:dyDescent="0.3">
      <c r="B35" s="28" t="s">
        <v>183</v>
      </c>
      <c r="C35" s="103" t="s">
        <v>417</v>
      </c>
      <c r="D35" s="84" t="s">
        <v>269</v>
      </c>
      <c r="E35" s="197" t="s">
        <v>146</v>
      </c>
      <c r="F35" s="29" t="s">
        <v>137</v>
      </c>
      <c r="G35" s="103">
        <v>3</v>
      </c>
      <c r="H35" s="106">
        <v>0</v>
      </c>
      <c r="I35" s="106">
        <f t="shared" si="4"/>
        <v>3</v>
      </c>
      <c r="J35" s="106">
        <v>0</v>
      </c>
      <c r="K35" s="106">
        <f t="shared" si="5"/>
        <v>-3</v>
      </c>
      <c r="L35" s="33">
        <v>0</v>
      </c>
      <c r="M35" s="33">
        <v>0</v>
      </c>
      <c r="N35" s="33">
        <v>0</v>
      </c>
      <c r="O35" s="33">
        <v>0</v>
      </c>
      <c r="P35" s="33">
        <v>0</v>
      </c>
      <c r="Q35" s="33">
        <v>0</v>
      </c>
      <c r="R35" s="33">
        <v>0</v>
      </c>
      <c r="S35" s="33">
        <v>0</v>
      </c>
      <c r="T35" s="33">
        <v>0</v>
      </c>
      <c r="U35" s="33">
        <v>0</v>
      </c>
      <c r="V35" s="33">
        <v>0</v>
      </c>
      <c r="W35" s="33">
        <v>0</v>
      </c>
      <c r="X35" s="33">
        <v>0</v>
      </c>
      <c r="Y35" s="33">
        <v>0</v>
      </c>
      <c r="Z35" s="33">
        <v>0</v>
      </c>
      <c r="AA35" s="33">
        <v>0</v>
      </c>
      <c r="AB35" s="33">
        <v>0</v>
      </c>
      <c r="AC35" s="33">
        <v>0</v>
      </c>
      <c r="AD35" s="33">
        <v>0</v>
      </c>
      <c r="AE35" s="33">
        <v>0</v>
      </c>
      <c r="AF35" s="33">
        <v>0</v>
      </c>
    </row>
    <row r="36" spans="2:32" ht="13.5" customHeight="1" x14ac:dyDescent="0.3">
      <c r="B36" s="28" t="s">
        <v>184</v>
      </c>
      <c r="C36" s="39" t="s">
        <v>418</v>
      </c>
      <c r="D36" s="40" t="s">
        <v>270</v>
      </c>
      <c r="E36" s="184" t="s">
        <v>136</v>
      </c>
      <c r="F36" s="29" t="s">
        <v>137</v>
      </c>
      <c r="G36" s="103">
        <v>5</v>
      </c>
      <c r="H36" s="106">
        <v>5</v>
      </c>
      <c r="I36" s="106">
        <f t="shared" si="4"/>
        <v>0</v>
      </c>
      <c r="J36" s="106">
        <v>6</v>
      </c>
      <c r="K36" s="106">
        <f t="shared" si="5"/>
        <v>1</v>
      </c>
      <c r="L36" s="33">
        <v>0</v>
      </c>
      <c r="M36" s="33">
        <v>0</v>
      </c>
      <c r="N36" s="33">
        <v>0</v>
      </c>
      <c r="O36" s="33">
        <v>0</v>
      </c>
      <c r="P36" s="33">
        <v>0</v>
      </c>
      <c r="Q36" s="33">
        <v>0</v>
      </c>
      <c r="R36" s="33">
        <v>0</v>
      </c>
      <c r="S36" s="33">
        <v>1</v>
      </c>
      <c r="T36" s="33">
        <v>1</v>
      </c>
      <c r="U36" s="33">
        <v>1</v>
      </c>
      <c r="V36" s="33">
        <v>1</v>
      </c>
      <c r="W36" s="33">
        <v>1</v>
      </c>
      <c r="X36" s="33">
        <v>0</v>
      </c>
      <c r="Y36" s="33">
        <v>0</v>
      </c>
      <c r="Z36" s="33">
        <v>0</v>
      </c>
      <c r="AA36" s="33">
        <v>0</v>
      </c>
      <c r="AB36" s="33">
        <v>0</v>
      </c>
      <c r="AC36" s="33">
        <v>0</v>
      </c>
      <c r="AD36" s="33">
        <v>0</v>
      </c>
      <c r="AE36" s="33">
        <v>0</v>
      </c>
      <c r="AF36" s="33">
        <v>0</v>
      </c>
    </row>
    <row r="37" spans="2:32" ht="13.5" customHeight="1" x14ac:dyDescent="0.3">
      <c r="B37" s="28" t="s">
        <v>186</v>
      </c>
      <c r="C37" s="103" t="s">
        <v>418</v>
      </c>
      <c r="D37" s="41" t="s">
        <v>271</v>
      </c>
      <c r="E37" s="184" t="s">
        <v>136</v>
      </c>
      <c r="F37" s="29" t="s">
        <v>137</v>
      </c>
      <c r="G37" s="103">
        <v>8</v>
      </c>
      <c r="H37" s="106">
        <v>8</v>
      </c>
      <c r="I37" s="106">
        <f t="shared" si="4"/>
        <v>0</v>
      </c>
      <c r="J37" s="106">
        <v>8</v>
      </c>
      <c r="K37" s="106">
        <f t="shared" si="5"/>
        <v>0</v>
      </c>
      <c r="L37" s="33">
        <v>0</v>
      </c>
      <c r="M37" s="33">
        <v>0</v>
      </c>
      <c r="N37" s="33">
        <v>0</v>
      </c>
      <c r="O37" s="33">
        <v>0</v>
      </c>
      <c r="P37" s="33">
        <v>0</v>
      </c>
      <c r="Q37" s="33">
        <v>0</v>
      </c>
      <c r="R37" s="33">
        <v>1</v>
      </c>
      <c r="S37" s="33">
        <v>1</v>
      </c>
      <c r="T37" s="33">
        <v>2</v>
      </c>
      <c r="U37" s="33">
        <v>0</v>
      </c>
      <c r="V37" s="33">
        <v>2</v>
      </c>
      <c r="W37" s="33">
        <v>2</v>
      </c>
      <c r="X37" s="33">
        <v>0</v>
      </c>
      <c r="Y37" s="33">
        <v>0</v>
      </c>
      <c r="Z37" s="33">
        <v>0</v>
      </c>
      <c r="AA37" s="33">
        <v>0</v>
      </c>
      <c r="AB37" s="33">
        <v>0</v>
      </c>
      <c r="AC37" s="33">
        <v>0</v>
      </c>
      <c r="AD37" s="33">
        <v>0</v>
      </c>
      <c r="AE37" s="33">
        <v>0</v>
      </c>
      <c r="AF37" s="33">
        <v>0</v>
      </c>
    </row>
    <row r="38" spans="2:32" ht="13.5" customHeight="1" x14ac:dyDescent="0.3">
      <c r="B38" s="28" t="s">
        <v>188</v>
      </c>
      <c r="C38" s="103" t="s">
        <v>419</v>
      </c>
      <c r="D38" s="41" t="s">
        <v>307</v>
      </c>
      <c r="E38" s="184" t="s">
        <v>136</v>
      </c>
      <c r="F38" s="29" t="s">
        <v>137</v>
      </c>
      <c r="G38" s="103">
        <v>5</v>
      </c>
      <c r="H38" s="106">
        <v>5</v>
      </c>
      <c r="I38" s="106">
        <f t="shared" si="4"/>
        <v>0</v>
      </c>
      <c r="J38" s="106">
        <v>8</v>
      </c>
      <c r="K38" s="106">
        <f t="shared" si="5"/>
        <v>3</v>
      </c>
      <c r="L38" s="33">
        <v>0</v>
      </c>
      <c r="M38" s="33">
        <v>0</v>
      </c>
      <c r="N38" s="33">
        <v>0</v>
      </c>
      <c r="O38" s="33">
        <v>0</v>
      </c>
      <c r="P38" s="33">
        <v>0</v>
      </c>
      <c r="Q38" s="33">
        <v>0</v>
      </c>
      <c r="R38" s="33">
        <v>0</v>
      </c>
      <c r="S38" s="33">
        <v>0</v>
      </c>
      <c r="T38" s="33">
        <v>0</v>
      </c>
      <c r="U38" s="33">
        <v>0</v>
      </c>
      <c r="V38" s="33">
        <v>2</v>
      </c>
      <c r="W38" s="33">
        <v>2</v>
      </c>
      <c r="X38" s="33">
        <v>1</v>
      </c>
      <c r="Y38" s="33">
        <v>0</v>
      </c>
      <c r="Z38" s="33">
        <v>0</v>
      </c>
      <c r="AA38" s="33">
        <v>0</v>
      </c>
      <c r="AB38" s="33">
        <v>0</v>
      </c>
      <c r="AC38" s="33">
        <v>0</v>
      </c>
      <c r="AD38" s="33">
        <v>0</v>
      </c>
      <c r="AE38" s="33">
        <v>0</v>
      </c>
      <c r="AF38" s="33">
        <v>0</v>
      </c>
    </row>
    <row r="39" spans="2:32" ht="13.5" customHeight="1" x14ac:dyDescent="0.3">
      <c r="B39" s="28" t="s">
        <v>190</v>
      </c>
      <c r="C39" s="103" t="s">
        <v>419</v>
      </c>
      <c r="D39" s="41" t="s">
        <v>308</v>
      </c>
      <c r="E39" s="184" t="s">
        <v>136</v>
      </c>
      <c r="F39" s="29" t="s">
        <v>137</v>
      </c>
      <c r="G39" s="103">
        <v>10</v>
      </c>
      <c r="H39" s="106">
        <v>10</v>
      </c>
      <c r="I39" s="106">
        <f t="shared" si="4"/>
        <v>0</v>
      </c>
      <c r="J39" s="106">
        <v>12</v>
      </c>
      <c r="K39" s="106">
        <f t="shared" si="5"/>
        <v>2</v>
      </c>
      <c r="L39" s="33">
        <v>0</v>
      </c>
      <c r="M39" s="33">
        <v>0</v>
      </c>
      <c r="N39" s="33">
        <v>0</v>
      </c>
      <c r="O39" s="33">
        <v>0</v>
      </c>
      <c r="P39" s="33">
        <v>0</v>
      </c>
      <c r="Q39" s="33">
        <v>0</v>
      </c>
      <c r="R39" s="33">
        <v>0</v>
      </c>
      <c r="S39" s="33">
        <v>0</v>
      </c>
      <c r="T39" s="33">
        <v>0</v>
      </c>
      <c r="U39" s="33">
        <v>2</v>
      </c>
      <c r="V39" s="33">
        <v>2</v>
      </c>
      <c r="W39" s="33">
        <v>2</v>
      </c>
      <c r="X39" s="33">
        <v>2</v>
      </c>
      <c r="Y39" s="33">
        <v>2</v>
      </c>
      <c r="Z39" s="33">
        <v>0</v>
      </c>
      <c r="AA39" s="33">
        <v>0</v>
      </c>
      <c r="AB39" s="33">
        <v>0</v>
      </c>
      <c r="AC39" s="33">
        <v>0</v>
      </c>
      <c r="AD39" s="33">
        <v>0</v>
      </c>
      <c r="AE39" s="33">
        <v>0</v>
      </c>
      <c r="AF39" s="33">
        <v>0</v>
      </c>
    </row>
    <row r="40" spans="2:32" ht="15.75" customHeight="1" x14ac:dyDescent="0.3">
      <c r="B40" s="28" t="s">
        <v>192</v>
      </c>
      <c r="C40" s="103" t="s">
        <v>420</v>
      </c>
      <c r="D40" s="41" t="s">
        <v>309</v>
      </c>
      <c r="E40" s="184" t="s">
        <v>136</v>
      </c>
      <c r="F40" s="29" t="s">
        <v>137</v>
      </c>
      <c r="G40" s="103"/>
      <c r="H40" s="106"/>
      <c r="I40" s="106"/>
      <c r="J40" s="106"/>
      <c r="K40" s="106"/>
      <c r="L40" s="33"/>
      <c r="M40" s="33"/>
      <c r="N40" s="33"/>
      <c r="O40" s="33"/>
      <c r="P40" s="33"/>
      <c r="Q40" s="33"/>
      <c r="R40" s="33"/>
      <c r="S40" s="33"/>
      <c r="T40" s="33"/>
      <c r="U40" s="33"/>
      <c r="V40" s="33"/>
      <c r="W40" s="33"/>
      <c r="X40" s="33"/>
      <c r="Y40" s="33"/>
      <c r="Z40" s="33"/>
      <c r="AA40" s="33"/>
      <c r="AB40" s="33"/>
      <c r="AC40" s="33"/>
      <c r="AD40" s="33"/>
      <c r="AE40" s="33"/>
      <c r="AF40" s="33"/>
    </row>
    <row r="41" spans="2:32" ht="13.5" customHeight="1" x14ac:dyDescent="0.3">
      <c r="B41" s="28" t="s">
        <v>193</v>
      </c>
      <c r="C41" s="103" t="s">
        <v>421</v>
      </c>
      <c r="D41" s="41" t="s">
        <v>310</v>
      </c>
      <c r="E41" s="109" t="s">
        <v>136</v>
      </c>
      <c r="F41" s="29" t="s">
        <v>137</v>
      </c>
      <c r="G41" s="103">
        <v>4</v>
      </c>
      <c r="H41" s="106">
        <v>4</v>
      </c>
      <c r="I41" s="106">
        <f t="shared" si="4"/>
        <v>0</v>
      </c>
      <c r="J41" s="106">
        <v>6</v>
      </c>
      <c r="K41" s="106">
        <f t="shared" si="5"/>
        <v>2</v>
      </c>
      <c r="L41" s="33">
        <v>0</v>
      </c>
      <c r="M41" s="33">
        <v>0</v>
      </c>
      <c r="N41" s="33">
        <v>0</v>
      </c>
      <c r="O41" s="33">
        <v>0</v>
      </c>
      <c r="P41" s="33">
        <v>0</v>
      </c>
      <c r="Q41" s="33">
        <v>0</v>
      </c>
      <c r="R41" s="33">
        <v>0</v>
      </c>
      <c r="S41" s="33">
        <v>0</v>
      </c>
      <c r="T41" s="33">
        <v>0</v>
      </c>
      <c r="U41" s="33">
        <v>0</v>
      </c>
      <c r="V41" s="33">
        <v>0</v>
      </c>
      <c r="W41" s="33">
        <v>0</v>
      </c>
      <c r="X41" s="33">
        <v>1</v>
      </c>
      <c r="Y41" s="33">
        <v>1</v>
      </c>
      <c r="Z41" s="33">
        <v>0</v>
      </c>
      <c r="AA41" s="33">
        <v>1</v>
      </c>
      <c r="AB41" s="33">
        <v>1</v>
      </c>
      <c r="AC41" s="33">
        <v>0</v>
      </c>
      <c r="AD41" s="33">
        <v>0</v>
      </c>
      <c r="AE41" s="33">
        <v>0</v>
      </c>
      <c r="AF41" s="33">
        <v>0</v>
      </c>
    </row>
    <row r="42" spans="2:32" ht="13.5" customHeight="1" x14ac:dyDescent="0.3">
      <c r="B42" s="28" t="s">
        <v>194</v>
      </c>
      <c r="C42" s="103" t="s">
        <v>421</v>
      </c>
      <c r="D42" s="40" t="s">
        <v>311</v>
      </c>
      <c r="E42" s="109" t="s">
        <v>136</v>
      </c>
      <c r="F42" s="29" t="s">
        <v>137</v>
      </c>
      <c r="G42" s="103">
        <v>8</v>
      </c>
      <c r="H42" s="106">
        <v>10</v>
      </c>
      <c r="I42" s="106">
        <f t="shared" si="4"/>
        <v>-2</v>
      </c>
      <c r="J42" s="106">
        <v>12</v>
      </c>
      <c r="K42" s="106">
        <f t="shared" si="5"/>
        <v>4</v>
      </c>
      <c r="L42" s="33">
        <v>0</v>
      </c>
      <c r="M42" s="33">
        <v>0</v>
      </c>
      <c r="N42" s="33">
        <v>0</v>
      </c>
      <c r="O42" s="33">
        <v>0</v>
      </c>
      <c r="P42" s="33">
        <v>0</v>
      </c>
      <c r="Q42" s="33">
        <v>0</v>
      </c>
      <c r="R42" s="33">
        <v>0</v>
      </c>
      <c r="S42" s="33">
        <v>0</v>
      </c>
      <c r="T42" s="33">
        <v>0</v>
      </c>
      <c r="U42" s="33">
        <v>0</v>
      </c>
      <c r="V42" s="33">
        <v>1</v>
      </c>
      <c r="W42" s="33">
        <v>1</v>
      </c>
      <c r="X42" s="33">
        <v>1</v>
      </c>
      <c r="Y42" s="33">
        <v>1</v>
      </c>
      <c r="Z42" s="33">
        <v>1</v>
      </c>
      <c r="AA42" s="33">
        <v>1</v>
      </c>
      <c r="AB42" s="33">
        <v>2</v>
      </c>
      <c r="AC42" s="33">
        <v>2</v>
      </c>
      <c r="AD42" s="33">
        <v>0</v>
      </c>
      <c r="AE42" s="33">
        <v>0</v>
      </c>
      <c r="AF42" s="33">
        <v>0</v>
      </c>
    </row>
    <row r="43" spans="2:32" ht="13.5" customHeight="1" x14ac:dyDescent="0.3">
      <c r="B43" s="28" t="s">
        <v>195</v>
      </c>
      <c r="C43" s="103" t="s">
        <v>422</v>
      </c>
      <c r="D43" s="40" t="s">
        <v>314</v>
      </c>
      <c r="E43" s="109" t="s">
        <v>136</v>
      </c>
      <c r="F43" s="29" t="s">
        <v>137</v>
      </c>
      <c r="G43" s="103">
        <v>8</v>
      </c>
      <c r="H43" s="106">
        <v>10</v>
      </c>
      <c r="I43" s="106">
        <f t="shared" si="4"/>
        <v>-2</v>
      </c>
      <c r="J43" s="106">
        <v>9</v>
      </c>
      <c r="K43" s="106">
        <f t="shared" si="5"/>
        <v>1</v>
      </c>
      <c r="L43" s="33">
        <v>0</v>
      </c>
      <c r="M43" s="33">
        <v>0</v>
      </c>
      <c r="N43" s="33">
        <v>0</v>
      </c>
      <c r="O43" s="33">
        <v>0</v>
      </c>
      <c r="P43" s="33">
        <v>0</v>
      </c>
      <c r="Q43" s="33">
        <v>0</v>
      </c>
      <c r="R43" s="33">
        <v>0</v>
      </c>
      <c r="S43" s="33">
        <v>0</v>
      </c>
      <c r="T43" s="33">
        <v>0</v>
      </c>
      <c r="U43" s="33">
        <v>0</v>
      </c>
      <c r="V43" s="33">
        <v>0</v>
      </c>
      <c r="W43" s="33">
        <v>0</v>
      </c>
      <c r="X43" s="33">
        <v>0</v>
      </c>
      <c r="Y43" s="33">
        <v>2</v>
      </c>
      <c r="Z43" s="33">
        <v>2</v>
      </c>
      <c r="AA43" s="33">
        <v>2</v>
      </c>
      <c r="AB43" s="33">
        <v>2</v>
      </c>
      <c r="AC43" s="33">
        <v>2</v>
      </c>
      <c r="AD43" s="33">
        <v>0</v>
      </c>
      <c r="AE43" s="33">
        <v>0</v>
      </c>
      <c r="AF43" s="33">
        <v>0</v>
      </c>
    </row>
    <row r="44" spans="2:32" ht="13.5" customHeight="1" x14ac:dyDescent="0.3">
      <c r="B44" s="28" t="s">
        <v>196</v>
      </c>
      <c r="C44" s="103" t="s">
        <v>422</v>
      </c>
      <c r="D44" s="41" t="s">
        <v>315</v>
      </c>
      <c r="E44" s="109" t="s">
        <v>136</v>
      </c>
      <c r="F44" s="29" t="s">
        <v>137</v>
      </c>
      <c r="G44" s="103">
        <v>7</v>
      </c>
      <c r="H44" s="106">
        <v>7</v>
      </c>
      <c r="I44" s="106">
        <f t="shared" si="4"/>
        <v>0</v>
      </c>
      <c r="J44" s="106">
        <v>8</v>
      </c>
      <c r="K44" s="106">
        <f t="shared" si="5"/>
        <v>1</v>
      </c>
      <c r="L44" s="33">
        <v>0</v>
      </c>
      <c r="M44" s="33">
        <v>0</v>
      </c>
      <c r="N44" s="33">
        <v>0</v>
      </c>
      <c r="O44" s="33">
        <v>0</v>
      </c>
      <c r="P44" s="33">
        <v>0</v>
      </c>
      <c r="Q44" s="33">
        <v>0</v>
      </c>
      <c r="R44" s="33">
        <v>0</v>
      </c>
      <c r="S44" s="33">
        <v>0</v>
      </c>
      <c r="T44" s="33">
        <v>0</v>
      </c>
      <c r="U44" s="33">
        <v>0</v>
      </c>
      <c r="V44" s="33">
        <v>1</v>
      </c>
      <c r="W44" s="33">
        <v>1</v>
      </c>
      <c r="X44" s="33">
        <v>1</v>
      </c>
      <c r="Y44" s="33">
        <v>1</v>
      </c>
      <c r="Z44" s="33">
        <v>1</v>
      </c>
      <c r="AA44" s="33">
        <v>0</v>
      </c>
      <c r="AB44" s="33">
        <v>1</v>
      </c>
      <c r="AC44" s="33">
        <v>1</v>
      </c>
      <c r="AD44" s="33">
        <v>0</v>
      </c>
      <c r="AE44" s="33">
        <v>0</v>
      </c>
      <c r="AF44" s="33">
        <v>0</v>
      </c>
    </row>
    <row r="45" spans="2:32" ht="13.5" customHeight="1" x14ac:dyDescent="0.3">
      <c r="B45" s="28" t="s">
        <v>198</v>
      </c>
      <c r="C45" s="103" t="s">
        <v>423</v>
      </c>
      <c r="D45" s="41" t="s">
        <v>739</v>
      </c>
      <c r="E45" s="197" t="s">
        <v>154</v>
      </c>
      <c r="F45" s="29" t="s">
        <v>137</v>
      </c>
      <c r="G45" s="103">
        <v>6</v>
      </c>
      <c r="H45" s="106">
        <v>8</v>
      </c>
      <c r="I45" s="106">
        <f t="shared" si="4"/>
        <v>-2</v>
      </c>
      <c r="J45" s="106">
        <v>9</v>
      </c>
      <c r="K45" s="106">
        <f t="shared" si="5"/>
        <v>3</v>
      </c>
      <c r="L45" s="33">
        <v>0</v>
      </c>
      <c r="M45" s="33">
        <v>0</v>
      </c>
      <c r="N45" s="33">
        <v>0</v>
      </c>
      <c r="O45" s="33">
        <v>0</v>
      </c>
      <c r="P45" s="33">
        <v>0</v>
      </c>
      <c r="Q45" s="33">
        <v>0</v>
      </c>
      <c r="R45" s="33">
        <v>0</v>
      </c>
      <c r="S45" s="33">
        <v>0</v>
      </c>
      <c r="T45" s="33">
        <v>0</v>
      </c>
      <c r="U45" s="33">
        <v>0</v>
      </c>
      <c r="V45" s="33">
        <v>0</v>
      </c>
      <c r="W45" s="33">
        <v>2</v>
      </c>
      <c r="X45" s="33">
        <v>2</v>
      </c>
      <c r="Y45" s="33">
        <v>0</v>
      </c>
      <c r="Z45" s="33">
        <v>2</v>
      </c>
      <c r="AA45" s="33">
        <v>2</v>
      </c>
      <c r="AB45" s="33">
        <v>0</v>
      </c>
      <c r="AC45" s="33">
        <v>0</v>
      </c>
      <c r="AD45" s="33">
        <v>0</v>
      </c>
      <c r="AE45" s="33">
        <v>0</v>
      </c>
      <c r="AF45" s="33">
        <v>0</v>
      </c>
    </row>
    <row r="46" spans="2:32" ht="13.5" customHeight="1" x14ac:dyDescent="0.3">
      <c r="B46" s="28" t="s">
        <v>200</v>
      </c>
      <c r="C46" s="103" t="s">
        <v>423</v>
      </c>
      <c r="D46" s="41" t="s">
        <v>740</v>
      </c>
      <c r="E46" s="197" t="s">
        <v>154</v>
      </c>
      <c r="F46" s="29" t="s">
        <v>137</v>
      </c>
      <c r="G46" s="103"/>
      <c r="H46" s="106"/>
      <c r="I46" s="106"/>
      <c r="J46" s="106"/>
      <c r="K46" s="106"/>
      <c r="L46" s="33"/>
      <c r="M46" s="33"/>
      <c r="N46" s="33"/>
      <c r="O46" s="33"/>
      <c r="P46" s="33"/>
      <c r="Q46" s="33"/>
      <c r="R46" s="33"/>
      <c r="S46" s="33"/>
      <c r="T46" s="33"/>
      <c r="U46" s="33"/>
      <c r="V46" s="33"/>
      <c r="W46" s="33"/>
      <c r="X46" s="33"/>
      <c r="Y46" s="33"/>
      <c r="Z46" s="33"/>
      <c r="AA46" s="33"/>
      <c r="AB46" s="33"/>
      <c r="AC46" s="33"/>
      <c r="AD46" s="33"/>
      <c r="AE46" s="33"/>
      <c r="AF46" s="33"/>
    </row>
    <row r="47" spans="2:32" ht="13.5" customHeight="1" x14ac:dyDescent="0.3">
      <c r="B47" s="28" t="s">
        <v>202</v>
      </c>
      <c r="C47" s="103" t="s">
        <v>424</v>
      </c>
      <c r="D47" s="41" t="s">
        <v>316</v>
      </c>
      <c r="E47" s="197" t="s">
        <v>154</v>
      </c>
      <c r="F47" s="29" t="s">
        <v>137</v>
      </c>
      <c r="G47" s="103"/>
      <c r="H47" s="106"/>
      <c r="I47" s="106"/>
      <c r="J47" s="106"/>
      <c r="K47" s="106"/>
      <c r="L47" s="33"/>
      <c r="M47" s="33"/>
      <c r="N47" s="33"/>
      <c r="O47" s="33"/>
      <c r="P47" s="33"/>
      <c r="Q47" s="33"/>
      <c r="R47" s="33"/>
      <c r="S47" s="33"/>
      <c r="T47" s="33"/>
      <c r="U47" s="33"/>
      <c r="V47" s="33"/>
      <c r="W47" s="33"/>
      <c r="X47" s="33"/>
      <c r="Y47" s="33"/>
      <c r="Z47" s="33"/>
      <c r="AA47" s="33"/>
      <c r="AB47" s="33"/>
      <c r="AC47" s="33"/>
      <c r="AD47" s="33"/>
      <c r="AE47" s="33"/>
      <c r="AF47" s="33"/>
    </row>
    <row r="48" spans="2:32" ht="13.5" customHeight="1" x14ac:dyDescent="0.3">
      <c r="B48" s="28" t="s">
        <v>204</v>
      </c>
      <c r="C48" s="103" t="s">
        <v>424</v>
      </c>
      <c r="D48" s="40" t="s">
        <v>317</v>
      </c>
      <c r="E48" s="197" t="s">
        <v>154</v>
      </c>
      <c r="F48" s="29" t="s">
        <v>137</v>
      </c>
      <c r="G48" s="103">
        <v>10</v>
      </c>
      <c r="H48" s="106">
        <v>10</v>
      </c>
      <c r="I48" s="106">
        <f t="shared" si="4"/>
        <v>0</v>
      </c>
      <c r="J48" s="106">
        <v>12</v>
      </c>
      <c r="K48" s="106">
        <f t="shared" si="5"/>
        <v>2</v>
      </c>
      <c r="L48" s="33">
        <v>0</v>
      </c>
      <c r="M48" s="33">
        <v>0</v>
      </c>
      <c r="N48" s="33">
        <v>0</v>
      </c>
      <c r="O48" s="33">
        <v>0</v>
      </c>
      <c r="P48" s="33">
        <v>0</v>
      </c>
      <c r="Q48" s="33">
        <v>0</v>
      </c>
      <c r="R48" s="33">
        <v>0</v>
      </c>
      <c r="S48" s="33">
        <v>0</v>
      </c>
      <c r="T48" s="33">
        <v>0</v>
      </c>
      <c r="U48" s="33">
        <v>0</v>
      </c>
      <c r="V48" s="33">
        <v>0</v>
      </c>
      <c r="W48" s="33">
        <v>0</v>
      </c>
      <c r="X48" s="33">
        <v>2</v>
      </c>
      <c r="Y48" s="33">
        <v>2</v>
      </c>
      <c r="Z48" s="33">
        <v>2</v>
      </c>
      <c r="AA48" s="33">
        <v>2</v>
      </c>
      <c r="AB48" s="33">
        <v>2</v>
      </c>
      <c r="AC48" s="33">
        <v>0</v>
      </c>
      <c r="AD48" s="33">
        <v>0</v>
      </c>
      <c r="AE48" s="33">
        <v>0</v>
      </c>
      <c r="AF48" s="33">
        <v>0</v>
      </c>
    </row>
    <row r="49" spans="2:32" ht="13.5" customHeight="1" x14ac:dyDescent="0.3">
      <c r="B49" s="28" t="s">
        <v>206</v>
      </c>
      <c r="C49" s="103" t="s">
        <v>425</v>
      </c>
      <c r="D49" s="40" t="s">
        <v>741</v>
      </c>
      <c r="E49" s="197" t="s">
        <v>146</v>
      </c>
      <c r="F49" s="29" t="s">
        <v>137</v>
      </c>
      <c r="G49" s="103">
        <v>5</v>
      </c>
      <c r="H49" s="106">
        <v>5</v>
      </c>
      <c r="I49" s="106">
        <f t="shared" si="4"/>
        <v>0</v>
      </c>
      <c r="J49" s="106">
        <v>6</v>
      </c>
      <c r="K49" s="106">
        <f t="shared" si="5"/>
        <v>1</v>
      </c>
      <c r="L49" s="33">
        <v>0</v>
      </c>
      <c r="M49" s="33">
        <v>0</v>
      </c>
      <c r="N49" s="33">
        <v>0</v>
      </c>
      <c r="O49" s="33">
        <v>0</v>
      </c>
      <c r="P49" s="33">
        <v>0</v>
      </c>
      <c r="Q49" s="33">
        <v>0</v>
      </c>
      <c r="R49" s="33">
        <v>0</v>
      </c>
      <c r="S49" s="33">
        <v>0</v>
      </c>
      <c r="T49" s="33">
        <v>0</v>
      </c>
      <c r="U49" s="33">
        <v>0</v>
      </c>
      <c r="V49" s="33">
        <v>0</v>
      </c>
      <c r="W49" s="33">
        <v>0</v>
      </c>
      <c r="X49" s="33">
        <v>1</v>
      </c>
      <c r="Y49" s="33">
        <v>1</v>
      </c>
      <c r="Z49" s="33">
        <v>1</v>
      </c>
      <c r="AA49" s="33">
        <v>1</v>
      </c>
      <c r="AB49" s="33">
        <v>1</v>
      </c>
      <c r="AC49" s="33">
        <v>0</v>
      </c>
      <c r="AD49" s="33">
        <v>0</v>
      </c>
      <c r="AE49" s="33">
        <v>0</v>
      </c>
      <c r="AF49" s="33">
        <v>0</v>
      </c>
    </row>
    <row r="50" spans="2:32" ht="13.5" customHeight="1" x14ac:dyDescent="0.3">
      <c r="B50" s="28" t="s">
        <v>208</v>
      </c>
      <c r="C50" s="103" t="s">
        <v>425</v>
      </c>
      <c r="D50" s="40" t="s">
        <v>742</v>
      </c>
      <c r="E50" s="197" t="s">
        <v>146</v>
      </c>
      <c r="F50" s="29" t="s">
        <v>137</v>
      </c>
      <c r="G50" s="103">
        <v>8</v>
      </c>
      <c r="H50" s="106">
        <v>8</v>
      </c>
      <c r="I50" s="106">
        <f t="shared" si="4"/>
        <v>0</v>
      </c>
      <c r="J50" s="106">
        <v>10</v>
      </c>
      <c r="K50" s="106">
        <f t="shared" si="5"/>
        <v>2</v>
      </c>
      <c r="L50" s="33">
        <v>0</v>
      </c>
      <c r="M50" s="33">
        <v>0</v>
      </c>
      <c r="N50" s="33">
        <v>0</v>
      </c>
      <c r="O50" s="33">
        <v>0</v>
      </c>
      <c r="P50" s="33">
        <v>0</v>
      </c>
      <c r="Q50" s="33">
        <v>0</v>
      </c>
      <c r="R50" s="33">
        <v>0</v>
      </c>
      <c r="S50" s="33">
        <v>0</v>
      </c>
      <c r="T50" s="33">
        <v>0</v>
      </c>
      <c r="U50" s="33">
        <v>0</v>
      </c>
      <c r="V50" s="33">
        <v>0</v>
      </c>
      <c r="W50" s="33">
        <v>0</v>
      </c>
      <c r="X50" s="33">
        <v>0</v>
      </c>
      <c r="Y50" s="33">
        <v>0</v>
      </c>
      <c r="Z50" s="33">
        <v>2</v>
      </c>
      <c r="AA50" s="33">
        <v>2</v>
      </c>
      <c r="AB50" s="33">
        <v>2</v>
      </c>
      <c r="AC50" s="33">
        <v>2</v>
      </c>
      <c r="AD50" s="33">
        <v>0</v>
      </c>
      <c r="AE50" s="33">
        <v>0</v>
      </c>
      <c r="AF50" s="33">
        <v>0</v>
      </c>
    </row>
    <row r="51" spans="2:32" ht="13.5" customHeight="1" x14ac:dyDescent="0.3">
      <c r="B51" s="28" t="s">
        <v>209</v>
      </c>
      <c r="C51" s="103" t="s">
        <v>616</v>
      </c>
      <c r="D51" s="40" t="s">
        <v>743</v>
      </c>
      <c r="E51" s="197" t="s">
        <v>146</v>
      </c>
      <c r="F51" s="29" t="s">
        <v>137</v>
      </c>
      <c r="G51" s="103"/>
      <c r="H51" s="106"/>
      <c r="I51" s="106"/>
      <c r="J51" s="106"/>
      <c r="K51" s="106"/>
      <c r="L51" s="33"/>
      <c r="M51" s="33"/>
      <c r="N51" s="33"/>
      <c r="O51" s="33"/>
      <c r="P51" s="33"/>
      <c r="Q51" s="33"/>
      <c r="R51" s="33"/>
      <c r="S51" s="33"/>
      <c r="T51" s="33"/>
      <c r="U51" s="33"/>
      <c r="V51" s="33"/>
      <c r="W51" s="33"/>
      <c r="X51" s="33"/>
      <c r="Y51" s="33"/>
      <c r="Z51" s="33"/>
      <c r="AA51" s="33"/>
      <c r="AB51" s="33"/>
      <c r="AC51" s="33"/>
      <c r="AD51" s="33"/>
      <c r="AE51" s="33"/>
      <c r="AF51" s="33"/>
    </row>
    <row r="52" spans="2:32" ht="13.5" customHeight="1" x14ac:dyDescent="0.3">
      <c r="B52" s="28" t="s">
        <v>210</v>
      </c>
      <c r="C52" s="103" t="s">
        <v>616</v>
      </c>
      <c r="D52" s="40" t="s">
        <v>744</v>
      </c>
      <c r="E52" s="197" t="s">
        <v>146</v>
      </c>
      <c r="F52" s="29" t="s">
        <v>137</v>
      </c>
      <c r="G52" s="103">
        <v>10</v>
      </c>
      <c r="H52" s="106">
        <v>10</v>
      </c>
      <c r="I52" s="106">
        <f t="shared" si="4"/>
        <v>0</v>
      </c>
      <c r="J52" s="106">
        <v>6</v>
      </c>
      <c r="K52" s="106">
        <f t="shared" si="5"/>
        <v>-4</v>
      </c>
      <c r="L52" s="33">
        <v>0</v>
      </c>
      <c r="M52" s="33">
        <v>0</v>
      </c>
      <c r="N52" s="33">
        <v>0</v>
      </c>
      <c r="O52" s="33">
        <v>0</v>
      </c>
      <c r="P52" s="33">
        <v>0</v>
      </c>
      <c r="Q52" s="33">
        <v>0</v>
      </c>
      <c r="R52" s="33">
        <v>0</v>
      </c>
      <c r="S52" s="33">
        <v>0</v>
      </c>
      <c r="T52" s="33">
        <v>0</v>
      </c>
      <c r="U52" s="33">
        <v>0</v>
      </c>
      <c r="V52" s="33">
        <v>0</v>
      </c>
      <c r="W52" s="33">
        <v>0</v>
      </c>
      <c r="X52" s="33">
        <v>0</v>
      </c>
      <c r="Y52" s="33">
        <v>0</v>
      </c>
      <c r="Z52" s="33">
        <v>2</v>
      </c>
      <c r="AA52" s="33">
        <v>2</v>
      </c>
      <c r="AB52" s="33">
        <v>2</v>
      </c>
      <c r="AC52" s="33">
        <v>2</v>
      </c>
      <c r="AD52" s="33">
        <v>2</v>
      </c>
      <c r="AE52" s="33">
        <v>0</v>
      </c>
      <c r="AF52" s="33">
        <v>0</v>
      </c>
    </row>
    <row r="53" spans="2:32" ht="13.5" customHeight="1" x14ac:dyDescent="0.3">
      <c r="B53" s="28" t="s">
        <v>212</v>
      </c>
      <c r="C53" s="103" t="s">
        <v>691</v>
      </c>
      <c r="D53" s="40" t="s">
        <v>745</v>
      </c>
      <c r="E53" s="197" t="s">
        <v>143</v>
      </c>
      <c r="F53" s="29" t="s">
        <v>137</v>
      </c>
      <c r="G53" s="103"/>
      <c r="H53" s="106"/>
      <c r="I53" s="106"/>
      <c r="J53" s="106"/>
      <c r="K53" s="106"/>
      <c r="L53" s="33"/>
      <c r="M53" s="33"/>
      <c r="N53" s="33"/>
      <c r="O53" s="33"/>
      <c r="P53" s="33"/>
      <c r="Q53" s="33"/>
      <c r="R53" s="33"/>
      <c r="S53" s="33"/>
      <c r="T53" s="33"/>
      <c r="U53" s="33"/>
      <c r="V53" s="33"/>
      <c r="W53" s="33"/>
      <c r="X53" s="33"/>
      <c r="Y53" s="33"/>
      <c r="Z53" s="33"/>
      <c r="AA53" s="33"/>
      <c r="AB53" s="33"/>
      <c r="AC53" s="33"/>
      <c r="AD53" s="33"/>
      <c r="AE53" s="33"/>
      <c r="AF53" s="33"/>
    </row>
    <row r="54" spans="2:32" ht="13.5" customHeight="1" x14ac:dyDescent="0.3">
      <c r="B54" s="28" t="s">
        <v>214</v>
      </c>
      <c r="C54" s="103" t="s">
        <v>691</v>
      </c>
      <c r="D54" s="40" t="s">
        <v>746</v>
      </c>
      <c r="E54" s="197" t="s">
        <v>143</v>
      </c>
      <c r="F54" s="29" t="s">
        <v>137</v>
      </c>
      <c r="G54" s="103"/>
      <c r="H54" s="106"/>
      <c r="I54" s="106"/>
      <c r="J54" s="106"/>
      <c r="K54" s="106"/>
      <c r="L54" s="33"/>
      <c r="M54" s="33"/>
      <c r="N54" s="33"/>
      <c r="O54" s="33"/>
      <c r="P54" s="33"/>
      <c r="Q54" s="33"/>
      <c r="R54" s="33"/>
      <c r="S54" s="33"/>
      <c r="T54" s="33"/>
      <c r="U54" s="33"/>
      <c r="V54" s="33"/>
      <c r="W54" s="33"/>
      <c r="X54" s="33"/>
      <c r="Y54" s="33"/>
      <c r="Z54" s="33"/>
      <c r="AA54" s="33"/>
      <c r="AB54" s="33"/>
      <c r="AC54" s="33"/>
      <c r="AD54" s="33"/>
      <c r="AE54" s="33"/>
      <c r="AF54" s="33"/>
    </row>
    <row r="55" spans="2:32" ht="13.5" customHeight="1" x14ac:dyDescent="0.3">
      <c r="B55" s="28" t="s">
        <v>216</v>
      </c>
      <c r="C55" s="103" t="s">
        <v>692</v>
      </c>
      <c r="D55" s="40" t="s">
        <v>747</v>
      </c>
      <c r="E55" s="197" t="s">
        <v>146</v>
      </c>
      <c r="F55" s="29" t="s">
        <v>137</v>
      </c>
      <c r="G55" s="103">
        <v>10</v>
      </c>
      <c r="H55" s="106">
        <v>10</v>
      </c>
      <c r="I55" s="106">
        <f t="shared" si="4"/>
        <v>0</v>
      </c>
      <c r="J55" s="106">
        <v>12</v>
      </c>
      <c r="K55" s="106">
        <f t="shared" si="5"/>
        <v>2</v>
      </c>
      <c r="L55" s="33">
        <v>0</v>
      </c>
      <c r="M55" s="33">
        <v>0</v>
      </c>
      <c r="N55" s="33">
        <v>0</v>
      </c>
      <c r="O55" s="33">
        <v>0</v>
      </c>
      <c r="P55" s="33">
        <v>0</v>
      </c>
      <c r="Q55" s="33">
        <v>0</v>
      </c>
      <c r="R55" s="33">
        <v>0</v>
      </c>
      <c r="S55" s="33">
        <v>0</v>
      </c>
      <c r="T55" s="33">
        <v>0</v>
      </c>
      <c r="U55" s="33">
        <v>0</v>
      </c>
      <c r="V55" s="33">
        <v>0</v>
      </c>
      <c r="W55" s="33">
        <v>0</v>
      </c>
      <c r="X55" s="33">
        <v>0</v>
      </c>
      <c r="Y55" s="33">
        <v>2</v>
      </c>
      <c r="Z55" s="33">
        <v>2</v>
      </c>
      <c r="AA55" s="33">
        <v>2</v>
      </c>
      <c r="AB55" s="33">
        <v>2</v>
      </c>
      <c r="AC55" s="33">
        <v>2</v>
      </c>
      <c r="AD55" s="33">
        <v>0</v>
      </c>
      <c r="AE55" s="33">
        <v>0</v>
      </c>
      <c r="AF55" s="33">
        <v>0</v>
      </c>
    </row>
    <row r="56" spans="2:32" ht="13.5" customHeight="1" x14ac:dyDescent="0.3">
      <c r="B56" s="28" t="s">
        <v>218</v>
      </c>
      <c r="C56" s="103" t="s">
        <v>692</v>
      </c>
      <c r="D56" s="40" t="s">
        <v>748</v>
      </c>
      <c r="E56" s="197" t="s">
        <v>146</v>
      </c>
      <c r="F56" s="29" t="s">
        <v>137</v>
      </c>
      <c r="G56" s="103"/>
      <c r="H56" s="106"/>
      <c r="I56" s="106"/>
      <c r="J56" s="106"/>
      <c r="K56" s="106"/>
      <c r="L56" s="33"/>
      <c r="M56" s="33"/>
      <c r="N56" s="33"/>
      <c r="O56" s="33"/>
      <c r="P56" s="33"/>
      <c r="Q56" s="33"/>
      <c r="R56" s="33"/>
      <c r="S56" s="33"/>
      <c r="T56" s="33"/>
      <c r="U56" s="33"/>
      <c r="V56" s="33"/>
      <c r="W56" s="33"/>
      <c r="X56" s="33"/>
      <c r="Y56" s="33"/>
      <c r="Z56" s="33"/>
      <c r="AA56" s="33"/>
      <c r="AB56" s="33"/>
      <c r="AC56" s="33"/>
      <c r="AD56" s="33"/>
      <c r="AE56" s="33"/>
      <c r="AF56" s="33"/>
    </row>
    <row r="57" spans="2:32" ht="13.2" customHeight="1" x14ac:dyDescent="0.3">
      <c r="B57" s="28" t="s">
        <v>219</v>
      </c>
      <c r="C57" s="103" t="s">
        <v>693</v>
      </c>
      <c r="D57" s="40" t="s">
        <v>749</v>
      </c>
      <c r="E57" s="114" t="s">
        <v>136</v>
      </c>
      <c r="F57" s="29" t="s">
        <v>137</v>
      </c>
      <c r="G57" s="103">
        <v>8</v>
      </c>
      <c r="H57" s="106">
        <v>8</v>
      </c>
      <c r="I57" s="106">
        <f t="shared" si="4"/>
        <v>0</v>
      </c>
      <c r="J57" s="106">
        <v>7</v>
      </c>
      <c r="K57" s="106">
        <f t="shared" si="5"/>
        <v>-1</v>
      </c>
      <c r="L57" s="33">
        <v>0</v>
      </c>
      <c r="M57" s="33">
        <v>0</v>
      </c>
      <c r="N57" s="33">
        <v>0</v>
      </c>
      <c r="O57" s="33">
        <v>0</v>
      </c>
      <c r="P57" s="33">
        <v>0</v>
      </c>
      <c r="Q57" s="33">
        <v>0</v>
      </c>
      <c r="R57" s="33">
        <v>0</v>
      </c>
      <c r="S57" s="33">
        <v>0</v>
      </c>
      <c r="T57" s="33">
        <v>0</v>
      </c>
      <c r="U57" s="33">
        <v>0</v>
      </c>
      <c r="V57" s="33">
        <v>0</v>
      </c>
      <c r="W57" s="33">
        <v>0</v>
      </c>
      <c r="X57" s="33">
        <v>0</v>
      </c>
      <c r="Y57" s="33">
        <v>0</v>
      </c>
      <c r="Z57" s="33">
        <v>0</v>
      </c>
      <c r="AA57" s="33">
        <v>2</v>
      </c>
      <c r="AB57" s="33">
        <v>2</v>
      </c>
      <c r="AC57" s="33">
        <v>2</v>
      </c>
      <c r="AD57" s="33">
        <v>2</v>
      </c>
      <c r="AE57" s="33">
        <v>0</v>
      </c>
      <c r="AF57" s="33">
        <v>0</v>
      </c>
    </row>
    <row r="58" spans="2:32" ht="13.5" customHeight="1" x14ac:dyDescent="0.3">
      <c r="B58" s="28" t="s">
        <v>221</v>
      </c>
      <c r="C58" s="103" t="s">
        <v>693</v>
      </c>
      <c r="D58" s="40" t="s">
        <v>750</v>
      </c>
      <c r="E58" s="114" t="s">
        <v>136</v>
      </c>
      <c r="F58" s="29" t="s">
        <v>137</v>
      </c>
      <c r="G58" s="103">
        <v>6</v>
      </c>
      <c r="H58" s="106">
        <v>6</v>
      </c>
      <c r="I58" s="106">
        <f t="shared" si="4"/>
        <v>0</v>
      </c>
      <c r="J58" s="106">
        <v>5</v>
      </c>
      <c r="K58" s="106">
        <f t="shared" si="5"/>
        <v>-1</v>
      </c>
      <c r="L58" s="33">
        <v>0</v>
      </c>
      <c r="M58" s="33">
        <v>0</v>
      </c>
      <c r="N58" s="33">
        <v>0</v>
      </c>
      <c r="O58" s="33">
        <v>0</v>
      </c>
      <c r="P58" s="33">
        <v>0</v>
      </c>
      <c r="Q58" s="33">
        <v>0</v>
      </c>
      <c r="R58" s="33">
        <v>0</v>
      </c>
      <c r="S58" s="33">
        <v>0</v>
      </c>
      <c r="T58" s="33">
        <v>0</v>
      </c>
      <c r="U58" s="33">
        <v>0</v>
      </c>
      <c r="V58" s="33">
        <v>0</v>
      </c>
      <c r="W58" s="33">
        <v>0</v>
      </c>
      <c r="X58" s="33">
        <v>0</v>
      </c>
      <c r="Y58" s="33">
        <v>0</v>
      </c>
      <c r="Z58" s="33">
        <v>2</v>
      </c>
      <c r="AA58" s="33">
        <v>2</v>
      </c>
      <c r="AB58" s="33">
        <v>1</v>
      </c>
      <c r="AC58" s="33">
        <v>1</v>
      </c>
      <c r="AD58" s="33">
        <v>0</v>
      </c>
      <c r="AE58" s="33">
        <v>0</v>
      </c>
      <c r="AF58" s="33">
        <v>0</v>
      </c>
    </row>
    <row r="59" spans="2:32" ht="13.5" customHeight="1" x14ac:dyDescent="0.3">
      <c r="B59" s="28" t="s">
        <v>223</v>
      </c>
      <c r="C59" s="103" t="s">
        <v>694</v>
      </c>
      <c r="D59" s="40" t="s">
        <v>751</v>
      </c>
      <c r="E59" s="197" t="s">
        <v>151</v>
      </c>
      <c r="F59" s="29" t="s">
        <v>137</v>
      </c>
      <c r="G59" s="103">
        <v>5</v>
      </c>
      <c r="H59" s="106">
        <v>5</v>
      </c>
      <c r="I59" s="106">
        <f t="shared" si="4"/>
        <v>0</v>
      </c>
      <c r="J59" s="106">
        <v>5</v>
      </c>
      <c r="K59" s="106">
        <f t="shared" si="5"/>
        <v>0</v>
      </c>
      <c r="L59" s="33">
        <v>0</v>
      </c>
      <c r="M59" s="33">
        <v>0</v>
      </c>
      <c r="N59" s="33">
        <v>0</v>
      </c>
      <c r="O59" s="33">
        <v>0</v>
      </c>
      <c r="P59" s="33">
        <v>0</v>
      </c>
      <c r="Q59" s="33">
        <v>0</v>
      </c>
      <c r="R59" s="33">
        <v>0</v>
      </c>
      <c r="S59" s="33">
        <v>0</v>
      </c>
      <c r="T59" s="33">
        <v>0</v>
      </c>
      <c r="U59" s="33">
        <v>0</v>
      </c>
      <c r="V59" s="33">
        <v>0</v>
      </c>
      <c r="W59" s="33">
        <v>0</v>
      </c>
      <c r="X59" s="33">
        <v>0</v>
      </c>
      <c r="Y59" s="33">
        <v>0</v>
      </c>
      <c r="Z59" s="33">
        <v>1</v>
      </c>
      <c r="AA59" s="33">
        <v>1</v>
      </c>
      <c r="AB59" s="33">
        <v>1</v>
      </c>
      <c r="AC59" s="33">
        <v>1</v>
      </c>
      <c r="AD59" s="33">
        <v>1</v>
      </c>
      <c r="AE59" s="33">
        <v>0</v>
      </c>
      <c r="AF59" s="33">
        <v>0</v>
      </c>
    </row>
    <row r="60" spans="2:32" ht="13.5" customHeight="1" x14ac:dyDescent="0.3">
      <c r="B60" s="28" t="s">
        <v>224</v>
      </c>
      <c r="C60" s="103" t="s">
        <v>694</v>
      </c>
      <c r="D60" s="40" t="s">
        <v>752</v>
      </c>
      <c r="E60" s="197" t="s">
        <v>151</v>
      </c>
      <c r="F60" s="29" t="s">
        <v>137</v>
      </c>
      <c r="G60" s="103">
        <v>8</v>
      </c>
      <c r="H60" s="106">
        <v>7</v>
      </c>
      <c r="I60" s="106">
        <f t="shared" si="4"/>
        <v>1</v>
      </c>
      <c r="J60" s="106">
        <v>9</v>
      </c>
      <c r="K60" s="106">
        <f t="shared" si="5"/>
        <v>1</v>
      </c>
      <c r="L60" s="33">
        <v>0</v>
      </c>
      <c r="M60" s="33">
        <v>0</v>
      </c>
      <c r="N60" s="33">
        <v>0</v>
      </c>
      <c r="O60" s="33">
        <v>0</v>
      </c>
      <c r="P60" s="33">
        <v>0</v>
      </c>
      <c r="Q60" s="33">
        <v>0</v>
      </c>
      <c r="R60" s="33">
        <v>0</v>
      </c>
      <c r="S60" s="33">
        <v>0</v>
      </c>
      <c r="T60" s="33">
        <v>0</v>
      </c>
      <c r="U60" s="33">
        <v>0</v>
      </c>
      <c r="V60" s="33">
        <v>0</v>
      </c>
      <c r="W60" s="33">
        <v>0</v>
      </c>
      <c r="X60" s="33">
        <v>0</v>
      </c>
      <c r="Y60" s="33">
        <v>0</v>
      </c>
      <c r="Z60" s="33">
        <v>2</v>
      </c>
      <c r="AA60" s="33">
        <v>2</v>
      </c>
      <c r="AB60" s="33">
        <v>2</v>
      </c>
      <c r="AC60" s="33">
        <v>1</v>
      </c>
      <c r="AD60" s="33">
        <v>0</v>
      </c>
      <c r="AE60" s="33">
        <v>0</v>
      </c>
      <c r="AF60" s="33">
        <v>0</v>
      </c>
    </row>
    <row r="61" spans="2:32" ht="13.5" customHeight="1" x14ac:dyDescent="0.3">
      <c r="B61" s="28" t="s">
        <v>226</v>
      </c>
      <c r="C61" s="103" t="s">
        <v>695</v>
      </c>
      <c r="D61" s="173" t="s">
        <v>755</v>
      </c>
      <c r="E61" s="197" t="s">
        <v>140</v>
      </c>
      <c r="F61" s="29" t="s">
        <v>137</v>
      </c>
      <c r="G61" s="103"/>
      <c r="H61" s="106"/>
      <c r="I61" s="106"/>
      <c r="J61" s="106"/>
      <c r="K61" s="106"/>
      <c r="L61" s="33"/>
      <c r="M61" s="33"/>
      <c r="N61" s="33"/>
      <c r="O61" s="33"/>
      <c r="P61" s="33"/>
      <c r="Q61" s="33"/>
      <c r="R61" s="33"/>
      <c r="S61" s="33"/>
      <c r="T61" s="33"/>
      <c r="U61" s="33"/>
      <c r="V61" s="33"/>
      <c r="W61" s="33"/>
      <c r="X61" s="33"/>
      <c r="Y61" s="33"/>
      <c r="Z61" s="33"/>
      <c r="AA61" s="33"/>
      <c r="AB61" s="33"/>
      <c r="AC61" s="33"/>
      <c r="AD61" s="33"/>
      <c r="AE61" s="33"/>
      <c r="AF61" s="33"/>
    </row>
    <row r="62" spans="2:32" ht="13.5" customHeight="1" x14ac:dyDescent="0.3">
      <c r="B62" s="28" t="s">
        <v>227</v>
      </c>
      <c r="C62" s="195" t="s">
        <v>696</v>
      </c>
      <c r="D62" s="40" t="s">
        <v>753</v>
      </c>
      <c r="E62" s="197" t="s">
        <v>140</v>
      </c>
      <c r="F62" s="29" t="s">
        <v>137</v>
      </c>
      <c r="G62" s="103">
        <v>5</v>
      </c>
      <c r="H62" s="106">
        <v>5</v>
      </c>
      <c r="I62" s="106">
        <f t="shared" si="4"/>
        <v>0</v>
      </c>
      <c r="J62" s="106">
        <v>7</v>
      </c>
      <c r="K62" s="106">
        <f t="shared" si="5"/>
        <v>2</v>
      </c>
      <c r="L62" s="33">
        <v>0</v>
      </c>
      <c r="M62" s="33">
        <v>0</v>
      </c>
      <c r="N62" s="33">
        <v>0</v>
      </c>
      <c r="O62" s="33">
        <v>0</v>
      </c>
      <c r="P62" s="33">
        <v>0</v>
      </c>
      <c r="Q62" s="33">
        <v>0</v>
      </c>
      <c r="R62" s="33">
        <v>0</v>
      </c>
      <c r="S62" s="33">
        <v>0</v>
      </c>
      <c r="T62" s="33">
        <v>0</v>
      </c>
      <c r="U62" s="33">
        <v>0</v>
      </c>
      <c r="V62" s="33">
        <v>0</v>
      </c>
      <c r="W62" s="33">
        <v>0</v>
      </c>
      <c r="X62" s="33">
        <v>0</v>
      </c>
      <c r="Y62" s="33">
        <v>0</v>
      </c>
      <c r="Z62" s="33">
        <v>0</v>
      </c>
      <c r="AA62" s="33">
        <v>1</v>
      </c>
      <c r="AB62" s="33">
        <v>1</v>
      </c>
      <c r="AC62" s="33">
        <v>1</v>
      </c>
      <c r="AD62" s="33">
        <v>2</v>
      </c>
      <c r="AE62" s="33">
        <v>0</v>
      </c>
      <c r="AF62" s="33">
        <v>0</v>
      </c>
    </row>
    <row r="63" spans="2:32" ht="13.5" customHeight="1" x14ac:dyDescent="0.3">
      <c r="B63" s="28" t="s">
        <v>229</v>
      </c>
      <c r="C63" s="195" t="s">
        <v>696</v>
      </c>
      <c r="D63" s="40" t="s">
        <v>754</v>
      </c>
      <c r="E63" s="197" t="s">
        <v>140</v>
      </c>
      <c r="F63" s="29" t="s">
        <v>137</v>
      </c>
      <c r="G63" s="103">
        <v>6</v>
      </c>
      <c r="H63" s="106">
        <v>6</v>
      </c>
      <c r="I63" s="106">
        <f t="shared" si="4"/>
        <v>0</v>
      </c>
      <c r="J63" s="106">
        <v>5</v>
      </c>
      <c r="K63" s="106">
        <f t="shared" si="5"/>
        <v>-1</v>
      </c>
      <c r="L63" s="33">
        <v>0</v>
      </c>
      <c r="M63" s="33">
        <v>0</v>
      </c>
      <c r="N63" s="33">
        <v>0</v>
      </c>
      <c r="O63" s="33">
        <v>0</v>
      </c>
      <c r="P63" s="33">
        <v>0</v>
      </c>
      <c r="Q63" s="33">
        <v>0</v>
      </c>
      <c r="R63" s="33">
        <v>0</v>
      </c>
      <c r="S63" s="33">
        <v>0</v>
      </c>
      <c r="T63" s="33">
        <v>0</v>
      </c>
      <c r="U63" s="33">
        <v>0</v>
      </c>
      <c r="V63" s="33">
        <v>0</v>
      </c>
      <c r="W63" s="33">
        <v>0</v>
      </c>
      <c r="X63" s="33">
        <v>0</v>
      </c>
      <c r="Y63" s="33">
        <v>0</v>
      </c>
      <c r="Z63" s="33">
        <v>0</v>
      </c>
      <c r="AA63" s="33">
        <v>1</v>
      </c>
      <c r="AB63" s="33">
        <v>1</v>
      </c>
      <c r="AC63" s="33">
        <v>2</v>
      </c>
      <c r="AD63" s="33">
        <v>2</v>
      </c>
      <c r="AE63" s="33">
        <v>0</v>
      </c>
      <c r="AF63" s="33">
        <v>0</v>
      </c>
    </row>
    <row r="64" spans="2:32" ht="13.5" customHeight="1" x14ac:dyDescent="0.3">
      <c r="B64" s="36"/>
      <c r="C64" s="110"/>
      <c r="D64" s="117"/>
      <c r="E64" s="113"/>
      <c r="F64" s="37"/>
      <c r="G64" s="110"/>
      <c r="H64" s="110"/>
      <c r="I64" s="110"/>
      <c r="J64" s="110"/>
      <c r="K64" s="110"/>
      <c r="L64" s="110"/>
      <c r="M64" s="110"/>
      <c r="N64" s="110"/>
      <c r="O64" s="110"/>
      <c r="P64" s="110"/>
      <c r="Q64" s="110"/>
      <c r="R64" s="112"/>
      <c r="S64" s="112"/>
      <c r="T64" s="112"/>
      <c r="U64" s="112"/>
      <c r="V64" s="112"/>
      <c r="W64" s="112"/>
      <c r="X64" s="112"/>
      <c r="Y64" s="112"/>
      <c r="Z64" s="112"/>
      <c r="AA64" s="112"/>
      <c r="AB64" s="112"/>
      <c r="AC64" s="112"/>
      <c r="AD64" s="112"/>
      <c r="AE64" s="112"/>
      <c r="AF64" s="112"/>
    </row>
    <row r="65" spans="2:33" ht="13.5" customHeight="1" x14ac:dyDescent="0.3">
      <c r="B65" s="175" t="s">
        <v>231</v>
      </c>
      <c r="C65" s="195" t="s">
        <v>416</v>
      </c>
      <c r="D65" s="118" t="s">
        <v>756</v>
      </c>
      <c r="E65" s="197" t="s">
        <v>136</v>
      </c>
      <c r="F65" s="29" t="s">
        <v>137</v>
      </c>
      <c r="G65" s="103">
        <v>5</v>
      </c>
      <c r="H65" s="106">
        <v>4</v>
      </c>
      <c r="I65" s="106">
        <f t="shared" ref="I65:I81" si="6">G65-H65</f>
        <v>1</v>
      </c>
      <c r="J65" s="106">
        <v>4</v>
      </c>
      <c r="K65" s="106">
        <f t="shared" ref="K65:K81" si="7">SUM(J65-G65)</f>
        <v>-1</v>
      </c>
      <c r="L65" s="33">
        <v>0</v>
      </c>
      <c r="M65" s="33">
        <v>0</v>
      </c>
      <c r="N65" s="33">
        <v>0</v>
      </c>
      <c r="O65" s="33">
        <v>0</v>
      </c>
      <c r="P65" s="33">
        <v>0</v>
      </c>
      <c r="Q65" s="33">
        <v>0</v>
      </c>
      <c r="R65" s="33">
        <v>0</v>
      </c>
      <c r="S65" s="33">
        <v>0</v>
      </c>
      <c r="T65" s="33">
        <v>0</v>
      </c>
      <c r="U65" s="33">
        <v>0</v>
      </c>
      <c r="V65" s="33">
        <v>0</v>
      </c>
      <c r="W65" s="33">
        <v>0</v>
      </c>
      <c r="X65" s="33">
        <v>0</v>
      </c>
      <c r="Y65" s="33">
        <v>0</v>
      </c>
      <c r="Z65" s="33">
        <v>0</v>
      </c>
      <c r="AA65" s="33">
        <v>0</v>
      </c>
      <c r="AB65" s="33">
        <v>0</v>
      </c>
      <c r="AC65" s="33">
        <v>0</v>
      </c>
      <c r="AD65" s="33">
        <v>2</v>
      </c>
      <c r="AE65" s="33">
        <v>2</v>
      </c>
      <c r="AF65" s="33">
        <v>0</v>
      </c>
      <c r="AG65" s="1"/>
    </row>
    <row r="66" spans="2:33" ht="13.5" customHeight="1" x14ac:dyDescent="0.3">
      <c r="B66" s="175" t="s">
        <v>273</v>
      </c>
      <c r="C66" s="195" t="s">
        <v>417</v>
      </c>
      <c r="D66" s="118" t="s">
        <v>287</v>
      </c>
      <c r="E66" s="197" t="s">
        <v>146</v>
      </c>
      <c r="F66" s="29" t="s">
        <v>137</v>
      </c>
      <c r="G66" s="103">
        <v>2</v>
      </c>
      <c r="H66" s="106">
        <v>0</v>
      </c>
      <c r="I66" s="106">
        <f t="shared" si="6"/>
        <v>2</v>
      </c>
      <c r="J66" s="106">
        <v>0</v>
      </c>
      <c r="K66" s="106">
        <f t="shared" si="7"/>
        <v>-2</v>
      </c>
      <c r="L66" s="33">
        <v>0</v>
      </c>
      <c r="M66" s="33">
        <v>0</v>
      </c>
      <c r="N66" s="33">
        <v>0</v>
      </c>
      <c r="O66" s="33">
        <v>0</v>
      </c>
      <c r="P66" s="33">
        <v>0</v>
      </c>
      <c r="Q66" s="33">
        <v>0</v>
      </c>
      <c r="R66" s="33">
        <v>0</v>
      </c>
      <c r="S66" s="33">
        <v>0</v>
      </c>
      <c r="T66" s="33">
        <v>0</v>
      </c>
      <c r="U66" s="33">
        <v>0</v>
      </c>
      <c r="V66" s="33">
        <v>0</v>
      </c>
      <c r="W66" s="33">
        <v>0</v>
      </c>
      <c r="X66" s="33">
        <v>0</v>
      </c>
      <c r="Y66" s="33">
        <v>0</v>
      </c>
      <c r="Z66" s="33">
        <v>0</v>
      </c>
      <c r="AA66" s="33">
        <v>0</v>
      </c>
      <c r="AB66" s="33">
        <v>0</v>
      </c>
      <c r="AC66" s="33">
        <v>0</v>
      </c>
      <c r="AD66" s="33">
        <v>0</v>
      </c>
      <c r="AE66" s="33">
        <v>0</v>
      </c>
      <c r="AF66" s="33">
        <v>0</v>
      </c>
      <c r="AG66" s="1"/>
    </row>
    <row r="67" spans="2:33" ht="13.5" customHeight="1" x14ac:dyDescent="0.3">
      <c r="B67" s="175" t="s">
        <v>274</v>
      </c>
      <c r="C67" s="195" t="s">
        <v>418</v>
      </c>
      <c r="D67" s="118" t="s">
        <v>289</v>
      </c>
      <c r="E67" s="197" t="s">
        <v>136</v>
      </c>
      <c r="F67" s="29" t="s">
        <v>137</v>
      </c>
      <c r="G67" s="103">
        <v>5</v>
      </c>
      <c r="H67" s="106">
        <v>4</v>
      </c>
      <c r="I67" s="106">
        <f t="shared" si="6"/>
        <v>1</v>
      </c>
      <c r="J67" s="106">
        <v>3</v>
      </c>
      <c r="K67" s="106">
        <f t="shared" si="7"/>
        <v>-2</v>
      </c>
      <c r="L67" s="33">
        <v>0</v>
      </c>
      <c r="M67" s="33">
        <v>0</v>
      </c>
      <c r="N67" s="33">
        <v>0</v>
      </c>
      <c r="O67" s="33">
        <v>0</v>
      </c>
      <c r="P67" s="33">
        <v>0</v>
      </c>
      <c r="Q67" s="33">
        <v>0</v>
      </c>
      <c r="R67" s="33">
        <v>0</v>
      </c>
      <c r="S67" s="33">
        <v>0</v>
      </c>
      <c r="T67" s="33">
        <v>0</v>
      </c>
      <c r="U67" s="33">
        <v>0</v>
      </c>
      <c r="V67" s="33">
        <v>0</v>
      </c>
      <c r="W67" s="33">
        <v>0</v>
      </c>
      <c r="X67" s="33">
        <v>0</v>
      </c>
      <c r="Y67" s="33">
        <v>0</v>
      </c>
      <c r="Z67" s="33">
        <v>0</v>
      </c>
      <c r="AA67" s="33">
        <v>0</v>
      </c>
      <c r="AB67" s="33">
        <v>0</v>
      </c>
      <c r="AC67" s="33">
        <v>0</v>
      </c>
      <c r="AD67" s="33">
        <v>2</v>
      </c>
      <c r="AE67" s="33">
        <v>2</v>
      </c>
      <c r="AF67" s="33">
        <v>0</v>
      </c>
      <c r="AG67" s="1"/>
    </row>
    <row r="68" spans="2:33" ht="13.5" customHeight="1" x14ac:dyDescent="0.3">
      <c r="B68" s="175" t="s">
        <v>275</v>
      </c>
      <c r="C68" s="195" t="s">
        <v>419</v>
      </c>
      <c r="D68" s="118" t="s">
        <v>320</v>
      </c>
      <c r="E68" s="197" t="s">
        <v>136</v>
      </c>
      <c r="F68" s="29" t="s">
        <v>137</v>
      </c>
      <c r="G68" s="103">
        <v>2</v>
      </c>
      <c r="H68" s="106">
        <v>2</v>
      </c>
      <c r="I68" s="106">
        <f t="shared" si="6"/>
        <v>0</v>
      </c>
      <c r="J68" s="106">
        <v>2</v>
      </c>
      <c r="K68" s="106">
        <f t="shared" si="7"/>
        <v>0</v>
      </c>
      <c r="L68" s="33">
        <v>0</v>
      </c>
      <c r="M68" s="33">
        <v>0</v>
      </c>
      <c r="N68" s="33">
        <v>0</v>
      </c>
      <c r="O68" s="33">
        <v>0</v>
      </c>
      <c r="P68" s="33">
        <v>0</v>
      </c>
      <c r="Q68" s="33">
        <v>0</v>
      </c>
      <c r="R68" s="33">
        <v>0</v>
      </c>
      <c r="S68" s="33">
        <v>0</v>
      </c>
      <c r="T68" s="33">
        <v>0</v>
      </c>
      <c r="U68" s="33">
        <v>0</v>
      </c>
      <c r="V68" s="33">
        <v>0</v>
      </c>
      <c r="W68" s="33">
        <v>0</v>
      </c>
      <c r="X68" s="33">
        <v>0</v>
      </c>
      <c r="Y68" s="33">
        <v>0</v>
      </c>
      <c r="Z68" s="33">
        <v>0</v>
      </c>
      <c r="AA68" s="33">
        <v>0</v>
      </c>
      <c r="AB68" s="33">
        <v>0</v>
      </c>
      <c r="AC68" s="33">
        <v>0</v>
      </c>
      <c r="AD68" s="33">
        <v>1</v>
      </c>
      <c r="AE68" s="33">
        <v>1</v>
      </c>
      <c r="AF68" s="33">
        <v>0</v>
      </c>
      <c r="AG68" s="1"/>
    </row>
    <row r="69" spans="2:33" ht="13.5" customHeight="1" x14ac:dyDescent="0.3">
      <c r="B69" s="175" t="s">
        <v>276</v>
      </c>
      <c r="C69" s="195" t="s">
        <v>420</v>
      </c>
      <c r="D69" s="118" t="s">
        <v>321</v>
      </c>
      <c r="E69" s="114" t="s">
        <v>136</v>
      </c>
      <c r="F69" s="29" t="s">
        <v>137</v>
      </c>
      <c r="G69" s="103">
        <v>2</v>
      </c>
      <c r="H69" s="106">
        <v>2</v>
      </c>
      <c r="I69" s="106">
        <f t="shared" si="6"/>
        <v>0</v>
      </c>
      <c r="J69" s="106">
        <v>3</v>
      </c>
      <c r="K69" s="106">
        <f t="shared" si="7"/>
        <v>1</v>
      </c>
      <c r="L69" s="33">
        <v>0</v>
      </c>
      <c r="M69" s="33">
        <v>0</v>
      </c>
      <c r="N69" s="33">
        <v>0</v>
      </c>
      <c r="O69" s="33">
        <v>0</v>
      </c>
      <c r="P69" s="33">
        <v>0</v>
      </c>
      <c r="Q69" s="33">
        <v>0</v>
      </c>
      <c r="R69" s="33">
        <v>0</v>
      </c>
      <c r="S69" s="33">
        <v>0</v>
      </c>
      <c r="T69" s="33">
        <v>0</v>
      </c>
      <c r="U69" s="33">
        <v>0</v>
      </c>
      <c r="V69" s="33">
        <v>0</v>
      </c>
      <c r="W69" s="33">
        <v>0</v>
      </c>
      <c r="X69" s="33">
        <v>0</v>
      </c>
      <c r="Y69" s="33">
        <v>0</v>
      </c>
      <c r="Z69" s="33">
        <v>0</v>
      </c>
      <c r="AA69" s="33">
        <v>0</v>
      </c>
      <c r="AB69" s="33">
        <v>0</v>
      </c>
      <c r="AC69" s="33">
        <v>0</v>
      </c>
      <c r="AD69" s="33">
        <v>0</v>
      </c>
      <c r="AE69" s="33">
        <v>2</v>
      </c>
      <c r="AF69" s="33">
        <v>0</v>
      </c>
      <c r="AG69" s="1"/>
    </row>
    <row r="70" spans="2:33" ht="13.5" customHeight="1" x14ac:dyDescent="0.3">
      <c r="B70" s="175" t="s">
        <v>278</v>
      </c>
      <c r="C70" s="195" t="s">
        <v>421</v>
      </c>
      <c r="D70" s="118" t="s">
        <v>322</v>
      </c>
      <c r="E70" s="114" t="s">
        <v>136</v>
      </c>
      <c r="F70" s="29" t="s">
        <v>137</v>
      </c>
      <c r="G70" s="103">
        <v>3</v>
      </c>
      <c r="H70" s="106">
        <v>3</v>
      </c>
      <c r="I70" s="106">
        <f t="shared" si="6"/>
        <v>0</v>
      </c>
      <c r="J70" s="106">
        <v>3</v>
      </c>
      <c r="K70" s="106">
        <f t="shared" si="7"/>
        <v>0</v>
      </c>
      <c r="L70" s="33">
        <v>0</v>
      </c>
      <c r="M70" s="33">
        <v>0</v>
      </c>
      <c r="N70" s="33">
        <v>0</v>
      </c>
      <c r="O70" s="33">
        <v>0</v>
      </c>
      <c r="P70" s="33">
        <v>0</v>
      </c>
      <c r="Q70" s="33">
        <v>0</v>
      </c>
      <c r="R70" s="33">
        <v>0</v>
      </c>
      <c r="S70" s="33">
        <v>0</v>
      </c>
      <c r="T70" s="33">
        <v>0</v>
      </c>
      <c r="U70" s="33">
        <v>0</v>
      </c>
      <c r="V70" s="33">
        <v>0</v>
      </c>
      <c r="W70" s="33">
        <v>0</v>
      </c>
      <c r="X70" s="33">
        <v>0</v>
      </c>
      <c r="Y70" s="33">
        <v>0</v>
      </c>
      <c r="Z70" s="33">
        <v>0</v>
      </c>
      <c r="AA70" s="33">
        <v>0</v>
      </c>
      <c r="AB70" s="33">
        <v>0</v>
      </c>
      <c r="AC70" s="33">
        <v>0</v>
      </c>
      <c r="AD70" s="33">
        <v>1</v>
      </c>
      <c r="AE70" s="33">
        <v>1</v>
      </c>
      <c r="AF70" s="33">
        <v>1</v>
      </c>
      <c r="AG70" s="1"/>
    </row>
    <row r="71" spans="2:33" ht="13.5" customHeight="1" x14ac:dyDescent="0.3">
      <c r="B71" s="175" t="s">
        <v>280</v>
      </c>
      <c r="C71" s="195" t="s">
        <v>422</v>
      </c>
      <c r="D71" s="118" t="s">
        <v>324</v>
      </c>
      <c r="E71" s="114" t="s">
        <v>136</v>
      </c>
      <c r="F71" s="29" t="s">
        <v>137</v>
      </c>
      <c r="G71" s="103">
        <v>2</v>
      </c>
      <c r="H71" s="106">
        <v>2</v>
      </c>
      <c r="I71" s="106">
        <f t="shared" si="6"/>
        <v>0</v>
      </c>
      <c r="J71" s="106">
        <v>2</v>
      </c>
      <c r="K71" s="106">
        <f t="shared" si="7"/>
        <v>0</v>
      </c>
      <c r="L71" s="33">
        <v>0</v>
      </c>
      <c r="M71" s="33">
        <v>0</v>
      </c>
      <c r="N71" s="33">
        <v>0</v>
      </c>
      <c r="O71" s="33">
        <v>0</v>
      </c>
      <c r="P71" s="33">
        <v>0</v>
      </c>
      <c r="Q71" s="33">
        <v>0</v>
      </c>
      <c r="R71" s="33">
        <v>0</v>
      </c>
      <c r="S71" s="33">
        <v>0</v>
      </c>
      <c r="T71" s="33">
        <v>0</v>
      </c>
      <c r="U71" s="33">
        <v>0</v>
      </c>
      <c r="V71" s="33">
        <v>0</v>
      </c>
      <c r="W71" s="33">
        <v>0</v>
      </c>
      <c r="X71" s="33">
        <v>0</v>
      </c>
      <c r="Y71" s="33">
        <v>0</v>
      </c>
      <c r="Z71" s="33">
        <v>0</v>
      </c>
      <c r="AA71" s="33">
        <v>0</v>
      </c>
      <c r="AB71" s="33">
        <v>0</v>
      </c>
      <c r="AC71" s="33">
        <v>0</v>
      </c>
      <c r="AD71" s="33">
        <v>1</v>
      </c>
      <c r="AE71" s="33">
        <v>1</v>
      </c>
      <c r="AF71" s="33">
        <v>0</v>
      </c>
      <c r="AG71" s="1"/>
    </row>
    <row r="72" spans="2:33" ht="13.5" customHeight="1" x14ac:dyDescent="0.3">
      <c r="B72" s="175" t="s">
        <v>282</v>
      </c>
      <c r="C72" s="195" t="s">
        <v>423</v>
      </c>
      <c r="D72" s="118" t="s">
        <v>757</v>
      </c>
      <c r="E72" s="197" t="s">
        <v>154</v>
      </c>
      <c r="F72" s="29" t="s">
        <v>137</v>
      </c>
      <c r="G72" s="103"/>
      <c r="H72" s="106"/>
      <c r="I72" s="106"/>
      <c r="J72" s="106"/>
      <c r="K72" s="106"/>
      <c r="L72" s="33"/>
      <c r="M72" s="33"/>
      <c r="N72" s="33"/>
      <c r="O72" s="33"/>
      <c r="P72" s="33"/>
      <c r="Q72" s="33"/>
      <c r="R72" s="33"/>
      <c r="S72" s="33"/>
      <c r="T72" s="33"/>
      <c r="U72" s="33"/>
      <c r="V72" s="33"/>
      <c r="W72" s="33"/>
      <c r="X72" s="33"/>
      <c r="Y72" s="33"/>
      <c r="Z72" s="33"/>
      <c r="AA72" s="33"/>
      <c r="AB72" s="33"/>
      <c r="AC72" s="33"/>
      <c r="AD72" s="33"/>
      <c r="AE72" s="33"/>
      <c r="AF72" s="33"/>
      <c r="AG72" s="1"/>
    </row>
    <row r="73" spans="2:33" ht="13.5" customHeight="1" x14ac:dyDescent="0.3">
      <c r="B73" s="175" t="s">
        <v>284</v>
      </c>
      <c r="C73" s="195" t="s">
        <v>424</v>
      </c>
      <c r="D73" s="118" t="s">
        <v>325</v>
      </c>
      <c r="E73" s="197" t="s">
        <v>154</v>
      </c>
      <c r="F73" s="29" t="s">
        <v>137</v>
      </c>
      <c r="G73" s="103">
        <v>2</v>
      </c>
      <c r="H73" s="106">
        <v>2</v>
      </c>
      <c r="I73" s="106">
        <f t="shared" si="6"/>
        <v>0</v>
      </c>
      <c r="J73" s="106">
        <v>2</v>
      </c>
      <c r="K73" s="106">
        <f t="shared" si="7"/>
        <v>0</v>
      </c>
      <c r="L73" s="33">
        <v>0</v>
      </c>
      <c r="M73" s="33">
        <v>0</v>
      </c>
      <c r="N73" s="33">
        <v>0</v>
      </c>
      <c r="O73" s="33">
        <v>0</v>
      </c>
      <c r="P73" s="33">
        <v>0</v>
      </c>
      <c r="Q73" s="33">
        <v>0</v>
      </c>
      <c r="R73" s="33">
        <v>0</v>
      </c>
      <c r="S73" s="33">
        <v>0</v>
      </c>
      <c r="T73" s="33">
        <v>0</v>
      </c>
      <c r="U73" s="33">
        <v>0</v>
      </c>
      <c r="V73" s="33">
        <v>0</v>
      </c>
      <c r="W73" s="33">
        <v>0</v>
      </c>
      <c r="X73" s="33">
        <v>0</v>
      </c>
      <c r="Y73" s="33">
        <v>0</v>
      </c>
      <c r="Z73" s="33">
        <v>0</v>
      </c>
      <c r="AA73" s="33">
        <v>0</v>
      </c>
      <c r="AB73" s="33">
        <v>0</v>
      </c>
      <c r="AC73" s="33">
        <v>0</v>
      </c>
      <c r="AD73" s="33">
        <v>0</v>
      </c>
      <c r="AE73" s="33">
        <v>1</v>
      </c>
      <c r="AF73" s="33">
        <v>1</v>
      </c>
      <c r="AG73" s="1"/>
    </row>
    <row r="74" spans="2:33" ht="13.5" customHeight="1" x14ac:dyDescent="0.3">
      <c r="B74" s="175" t="s">
        <v>327</v>
      </c>
      <c r="C74" s="195" t="s">
        <v>425</v>
      </c>
      <c r="D74" s="118" t="s">
        <v>758</v>
      </c>
      <c r="E74" s="197" t="s">
        <v>146</v>
      </c>
      <c r="F74" s="29" t="s">
        <v>137</v>
      </c>
      <c r="G74" s="103">
        <v>5</v>
      </c>
      <c r="H74" s="106">
        <v>4</v>
      </c>
      <c r="I74" s="106">
        <f t="shared" si="6"/>
        <v>1</v>
      </c>
      <c r="J74" s="106">
        <v>5</v>
      </c>
      <c r="K74" s="106">
        <f t="shared" si="7"/>
        <v>0</v>
      </c>
      <c r="L74" s="33">
        <v>0</v>
      </c>
      <c r="M74" s="33">
        <v>0</v>
      </c>
      <c r="N74" s="33">
        <v>0</v>
      </c>
      <c r="O74" s="33">
        <v>0</v>
      </c>
      <c r="P74" s="33">
        <v>0</v>
      </c>
      <c r="Q74" s="33">
        <v>0</v>
      </c>
      <c r="R74" s="33">
        <v>0</v>
      </c>
      <c r="S74" s="33">
        <v>0</v>
      </c>
      <c r="T74" s="33">
        <v>0</v>
      </c>
      <c r="U74" s="33">
        <v>0</v>
      </c>
      <c r="V74" s="33">
        <v>0</v>
      </c>
      <c r="W74" s="33">
        <v>0</v>
      </c>
      <c r="X74" s="33">
        <v>0</v>
      </c>
      <c r="Y74" s="33">
        <v>0</v>
      </c>
      <c r="Z74" s="33">
        <v>0</v>
      </c>
      <c r="AA74" s="33">
        <v>0</v>
      </c>
      <c r="AB74" s="33">
        <v>0</v>
      </c>
      <c r="AC74" s="33">
        <v>0</v>
      </c>
      <c r="AD74" s="33">
        <v>2</v>
      </c>
      <c r="AE74" s="33">
        <v>1</v>
      </c>
      <c r="AF74" s="33">
        <v>1</v>
      </c>
      <c r="AG74" s="1"/>
    </row>
    <row r="75" spans="2:33" ht="13.5" customHeight="1" x14ac:dyDescent="0.3">
      <c r="B75" s="175" t="s">
        <v>286</v>
      </c>
      <c r="C75" s="195" t="s">
        <v>616</v>
      </c>
      <c r="D75" s="118" t="s">
        <v>759</v>
      </c>
      <c r="E75" s="197" t="s">
        <v>146</v>
      </c>
      <c r="F75" s="29" t="s">
        <v>137</v>
      </c>
      <c r="G75" s="103">
        <v>2</v>
      </c>
      <c r="H75" s="106">
        <v>2</v>
      </c>
      <c r="I75" s="106">
        <f t="shared" si="6"/>
        <v>0</v>
      </c>
      <c r="J75" s="106">
        <v>3</v>
      </c>
      <c r="K75" s="106">
        <f t="shared" si="7"/>
        <v>1</v>
      </c>
      <c r="L75" s="33">
        <v>0</v>
      </c>
      <c r="M75" s="33">
        <v>0</v>
      </c>
      <c r="N75" s="33">
        <v>0</v>
      </c>
      <c r="O75" s="33">
        <v>0</v>
      </c>
      <c r="P75" s="33">
        <v>0</v>
      </c>
      <c r="Q75" s="33">
        <v>0</v>
      </c>
      <c r="R75" s="33">
        <v>0</v>
      </c>
      <c r="S75" s="33">
        <v>0</v>
      </c>
      <c r="T75" s="33">
        <v>0</v>
      </c>
      <c r="U75" s="33">
        <v>0</v>
      </c>
      <c r="V75" s="33">
        <v>0</v>
      </c>
      <c r="W75" s="33">
        <v>0</v>
      </c>
      <c r="X75" s="33">
        <v>0</v>
      </c>
      <c r="Y75" s="33">
        <v>0</v>
      </c>
      <c r="Z75" s="33">
        <v>0</v>
      </c>
      <c r="AA75" s="33">
        <v>0</v>
      </c>
      <c r="AB75" s="33">
        <v>0</v>
      </c>
      <c r="AC75" s="33">
        <v>0</v>
      </c>
      <c r="AD75" s="33">
        <v>0</v>
      </c>
      <c r="AE75" s="33">
        <v>0</v>
      </c>
      <c r="AF75" s="33">
        <v>2</v>
      </c>
      <c r="AG75" s="1"/>
    </row>
    <row r="76" spans="2:33" ht="13.5" customHeight="1" x14ac:dyDescent="0.3">
      <c r="B76" s="175" t="s">
        <v>288</v>
      </c>
      <c r="C76" s="195" t="s">
        <v>691</v>
      </c>
      <c r="D76" s="118" t="s">
        <v>760</v>
      </c>
      <c r="E76" s="197" t="s">
        <v>143</v>
      </c>
      <c r="F76" s="29" t="s">
        <v>137</v>
      </c>
      <c r="G76" s="103"/>
      <c r="H76" s="106"/>
      <c r="I76" s="106"/>
      <c r="J76" s="106"/>
      <c r="K76" s="106"/>
      <c r="L76" s="33"/>
      <c r="M76" s="33"/>
      <c r="N76" s="33"/>
      <c r="O76" s="33"/>
      <c r="P76" s="33"/>
      <c r="Q76" s="33"/>
      <c r="R76" s="33"/>
      <c r="S76" s="33"/>
      <c r="T76" s="33"/>
      <c r="U76" s="33"/>
      <c r="V76" s="33"/>
      <c r="W76" s="33"/>
      <c r="X76" s="33"/>
      <c r="Y76" s="33"/>
      <c r="Z76" s="33"/>
      <c r="AA76" s="33"/>
      <c r="AB76" s="33"/>
      <c r="AC76" s="33"/>
      <c r="AD76" s="33"/>
      <c r="AE76" s="33"/>
      <c r="AF76" s="33"/>
      <c r="AG76" s="1"/>
    </row>
    <row r="77" spans="2:33" ht="13.5" customHeight="1" x14ac:dyDescent="0.3">
      <c r="B77" s="175" t="s">
        <v>290</v>
      </c>
      <c r="C77" s="195" t="s">
        <v>692</v>
      </c>
      <c r="D77" s="118" t="s">
        <v>761</v>
      </c>
      <c r="E77" s="197" t="s">
        <v>146</v>
      </c>
      <c r="F77" s="29" t="s">
        <v>137</v>
      </c>
      <c r="G77" s="103"/>
      <c r="H77" s="106"/>
      <c r="I77" s="106"/>
      <c r="J77" s="106"/>
      <c r="K77" s="106"/>
      <c r="L77" s="33"/>
      <c r="M77" s="33"/>
      <c r="N77" s="33"/>
      <c r="O77" s="33"/>
      <c r="P77" s="33"/>
      <c r="Q77" s="33"/>
      <c r="R77" s="33"/>
      <c r="S77" s="33"/>
      <c r="T77" s="33"/>
      <c r="U77" s="33"/>
      <c r="V77" s="33"/>
      <c r="W77" s="33"/>
      <c r="X77" s="33"/>
      <c r="Y77" s="33"/>
      <c r="Z77" s="33"/>
      <c r="AA77" s="33"/>
      <c r="AB77" s="33"/>
      <c r="AC77" s="33"/>
      <c r="AD77" s="33"/>
      <c r="AE77" s="33"/>
      <c r="AF77" s="33"/>
      <c r="AG77" s="1"/>
    </row>
    <row r="78" spans="2:33" ht="13.5" customHeight="1" x14ac:dyDescent="0.3">
      <c r="B78" s="175" t="s">
        <v>291</v>
      </c>
      <c r="C78" s="195" t="s">
        <v>693</v>
      </c>
      <c r="D78" s="118" t="s">
        <v>762</v>
      </c>
      <c r="E78" s="197" t="s">
        <v>136</v>
      </c>
      <c r="F78" s="29" t="s">
        <v>137</v>
      </c>
      <c r="G78" s="103"/>
      <c r="H78" s="106"/>
      <c r="I78" s="106"/>
      <c r="J78" s="106"/>
      <c r="K78" s="106"/>
      <c r="L78" s="33"/>
      <c r="M78" s="33"/>
      <c r="N78" s="33"/>
      <c r="O78" s="33"/>
      <c r="P78" s="33"/>
      <c r="Q78" s="33"/>
      <c r="R78" s="33"/>
      <c r="S78" s="33"/>
      <c r="T78" s="33"/>
      <c r="U78" s="33"/>
      <c r="V78" s="33"/>
      <c r="W78" s="33"/>
      <c r="X78" s="33"/>
      <c r="Y78" s="33"/>
      <c r="Z78" s="33"/>
      <c r="AA78" s="33"/>
      <c r="AB78" s="33"/>
      <c r="AC78" s="33"/>
      <c r="AD78" s="33"/>
      <c r="AE78" s="33"/>
      <c r="AF78" s="33"/>
      <c r="AG78" s="1"/>
    </row>
    <row r="79" spans="2:33" ht="13.5" customHeight="1" x14ac:dyDescent="0.3">
      <c r="B79" s="175" t="s">
        <v>293</v>
      </c>
      <c r="C79" s="195" t="s">
        <v>694</v>
      </c>
      <c r="D79" s="118" t="s">
        <v>763</v>
      </c>
      <c r="E79" s="197" t="s">
        <v>151</v>
      </c>
      <c r="F79" s="29" t="s">
        <v>137</v>
      </c>
      <c r="G79" s="103">
        <v>2</v>
      </c>
      <c r="H79" s="106">
        <v>2</v>
      </c>
      <c r="I79" s="106">
        <f t="shared" si="6"/>
        <v>0</v>
      </c>
      <c r="J79" s="106">
        <v>3</v>
      </c>
      <c r="K79" s="106">
        <f t="shared" si="7"/>
        <v>1</v>
      </c>
      <c r="L79" s="33">
        <v>0</v>
      </c>
      <c r="M79" s="33">
        <v>0</v>
      </c>
      <c r="N79" s="33">
        <v>0</v>
      </c>
      <c r="O79" s="33">
        <v>0</v>
      </c>
      <c r="P79" s="33">
        <v>0</v>
      </c>
      <c r="Q79" s="33">
        <v>0</v>
      </c>
      <c r="R79" s="33">
        <v>0</v>
      </c>
      <c r="S79" s="33">
        <v>0</v>
      </c>
      <c r="T79" s="33">
        <v>0</v>
      </c>
      <c r="U79" s="33">
        <v>0</v>
      </c>
      <c r="V79" s="33">
        <v>0</v>
      </c>
      <c r="W79" s="33">
        <v>0</v>
      </c>
      <c r="X79" s="33">
        <v>0</v>
      </c>
      <c r="Y79" s="33">
        <v>0</v>
      </c>
      <c r="Z79" s="33">
        <v>0</v>
      </c>
      <c r="AA79" s="33">
        <v>0</v>
      </c>
      <c r="AB79" s="33">
        <v>0</v>
      </c>
      <c r="AC79" s="33">
        <v>0</v>
      </c>
      <c r="AD79" s="33">
        <v>1</v>
      </c>
      <c r="AE79" s="33">
        <v>1</v>
      </c>
      <c r="AF79" s="33">
        <v>0</v>
      </c>
      <c r="AG79" s="1"/>
    </row>
    <row r="80" spans="2:33" ht="13.5" customHeight="1" x14ac:dyDescent="0.3">
      <c r="B80" s="175" t="s">
        <v>295</v>
      </c>
      <c r="C80" s="195" t="s">
        <v>695</v>
      </c>
      <c r="D80" s="196" t="s">
        <v>765</v>
      </c>
      <c r="E80" s="197" t="s">
        <v>140</v>
      </c>
      <c r="F80" s="29" t="s">
        <v>137</v>
      </c>
      <c r="G80" s="103"/>
      <c r="H80" s="106"/>
      <c r="I80" s="106"/>
      <c r="J80" s="106"/>
      <c r="K80" s="106"/>
      <c r="L80" s="33"/>
      <c r="M80" s="33"/>
      <c r="N80" s="33"/>
      <c r="O80" s="33"/>
      <c r="P80" s="33"/>
      <c r="Q80" s="33"/>
      <c r="R80" s="33"/>
      <c r="S80" s="33"/>
      <c r="T80" s="33"/>
      <c r="U80" s="33"/>
      <c r="V80" s="33"/>
      <c r="W80" s="33"/>
      <c r="X80" s="33"/>
      <c r="Y80" s="33"/>
      <c r="Z80" s="33"/>
      <c r="AA80" s="33"/>
      <c r="AB80" s="33"/>
      <c r="AC80" s="33"/>
      <c r="AD80" s="33"/>
      <c r="AE80" s="33"/>
      <c r="AF80" s="33"/>
      <c r="AG80" s="1"/>
    </row>
    <row r="81" spans="2:33" ht="13.5" customHeight="1" x14ac:dyDescent="0.3">
      <c r="B81" s="175" t="s">
        <v>571</v>
      </c>
      <c r="C81" s="195" t="s">
        <v>696</v>
      </c>
      <c r="D81" s="118" t="s">
        <v>764</v>
      </c>
      <c r="E81" s="197" t="s">
        <v>140</v>
      </c>
      <c r="F81" s="29" t="s">
        <v>137</v>
      </c>
      <c r="G81" s="103">
        <v>5</v>
      </c>
      <c r="H81" s="106">
        <v>4</v>
      </c>
      <c r="I81" s="106">
        <f t="shared" si="6"/>
        <v>1</v>
      </c>
      <c r="J81" s="106">
        <v>5</v>
      </c>
      <c r="K81" s="106">
        <f t="shared" si="7"/>
        <v>0</v>
      </c>
      <c r="L81" s="33">
        <v>0</v>
      </c>
      <c r="M81" s="33">
        <v>0</v>
      </c>
      <c r="N81" s="33">
        <v>0</v>
      </c>
      <c r="O81" s="33">
        <v>0</v>
      </c>
      <c r="P81" s="33">
        <v>0</v>
      </c>
      <c r="Q81" s="33">
        <v>0</v>
      </c>
      <c r="R81" s="33">
        <v>0</v>
      </c>
      <c r="S81" s="33">
        <v>0</v>
      </c>
      <c r="T81" s="33">
        <v>0</v>
      </c>
      <c r="U81" s="33">
        <v>0</v>
      </c>
      <c r="V81" s="33">
        <v>0</v>
      </c>
      <c r="W81" s="33">
        <v>0</v>
      </c>
      <c r="X81" s="33">
        <v>0</v>
      </c>
      <c r="Y81" s="33">
        <v>0</v>
      </c>
      <c r="Z81" s="33">
        <v>0</v>
      </c>
      <c r="AA81" s="33">
        <v>0</v>
      </c>
      <c r="AB81" s="33">
        <v>0</v>
      </c>
      <c r="AC81" s="33">
        <v>0</v>
      </c>
      <c r="AD81" s="33">
        <v>2</v>
      </c>
      <c r="AE81" s="33">
        <v>2</v>
      </c>
      <c r="AF81" s="33">
        <v>0</v>
      </c>
      <c r="AG81" s="1"/>
    </row>
    <row r="82" spans="2:33" ht="13.5" customHeight="1" x14ac:dyDescent="0.3">
      <c r="B82" s="36"/>
      <c r="C82" s="119"/>
      <c r="D82" s="43"/>
      <c r="E82" s="120"/>
      <c r="F82" s="37"/>
      <c r="G82" s="110"/>
      <c r="H82" s="110"/>
      <c r="I82" s="110"/>
      <c r="J82" s="110"/>
      <c r="K82" s="110"/>
      <c r="L82" s="110"/>
      <c r="M82" s="110"/>
      <c r="N82" s="110"/>
      <c r="O82" s="110"/>
      <c r="P82" s="110"/>
      <c r="Q82" s="110"/>
      <c r="R82" s="112"/>
      <c r="S82" s="112"/>
      <c r="T82" s="112"/>
      <c r="U82" s="112"/>
      <c r="V82" s="112"/>
      <c r="W82" s="112"/>
      <c r="X82" s="112"/>
      <c r="Y82" s="112"/>
      <c r="Z82" s="112"/>
      <c r="AA82" s="112"/>
      <c r="AB82" s="112"/>
      <c r="AC82" s="112"/>
      <c r="AD82" s="112"/>
      <c r="AE82" s="112"/>
      <c r="AF82" s="112"/>
    </row>
    <row r="83" spans="2:33" ht="13.5" customHeight="1" x14ac:dyDescent="0.3">
      <c r="B83" s="175" t="s">
        <v>572</v>
      </c>
      <c r="C83" s="103"/>
      <c r="D83" s="121" t="s">
        <v>328</v>
      </c>
      <c r="E83" s="122" t="s">
        <v>140</v>
      </c>
      <c r="F83" s="29" t="s">
        <v>137</v>
      </c>
      <c r="G83" s="103">
        <v>5</v>
      </c>
      <c r="H83" s="106">
        <v>5</v>
      </c>
      <c r="I83" s="106">
        <f t="shared" ref="I83:I84" si="8">G83-H83</f>
        <v>0</v>
      </c>
      <c r="J83" s="106">
        <v>5</v>
      </c>
      <c r="K83" s="106">
        <f t="shared" ref="K83:K84" si="9">SUM(J83-G83)</f>
        <v>0</v>
      </c>
      <c r="L83" s="33">
        <v>0</v>
      </c>
      <c r="M83" s="33">
        <v>0</v>
      </c>
      <c r="N83" s="33">
        <v>0</v>
      </c>
      <c r="O83" s="33">
        <v>0</v>
      </c>
      <c r="P83" s="33">
        <v>0</v>
      </c>
      <c r="Q83" s="33">
        <v>0</v>
      </c>
      <c r="R83" s="33">
        <v>0</v>
      </c>
      <c r="S83" s="33">
        <v>0</v>
      </c>
      <c r="T83" s="33">
        <v>0</v>
      </c>
      <c r="U83" s="33">
        <v>0</v>
      </c>
      <c r="V83" s="33">
        <v>0</v>
      </c>
      <c r="W83" s="33">
        <v>0</v>
      </c>
      <c r="X83" s="33">
        <v>0</v>
      </c>
      <c r="Y83" s="33">
        <v>0</v>
      </c>
      <c r="Z83" s="33">
        <v>0</v>
      </c>
      <c r="AA83" s="33">
        <v>0</v>
      </c>
      <c r="AB83" s="33">
        <v>0</v>
      </c>
      <c r="AC83" s="33">
        <v>0</v>
      </c>
      <c r="AD83" s="33">
        <v>0</v>
      </c>
      <c r="AE83" s="33">
        <v>0</v>
      </c>
      <c r="AF83" s="33">
        <v>5</v>
      </c>
    </row>
    <row r="84" spans="2:33" ht="13.5" customHeight="1" x14ac:dyDescent="0.3">
      <c r="B84" s="175" t="s">
        <v>573</v>
      </c>
      <c r="C84" s="103"/>
      <c r="D84" s="123" t="s">
        <v>329</v>
      </c>
      <c r="E84" s="122" t="s">
        <v>140</v>
      </c>
      <c r="F84" s="29" t="s">
        <v>137</v>
      </c>
      <c r="G84" s="103">
        <v>5</v>
      </c>
      <c r="H84" s="106">
        <v>5</v>
      </c>
      <c r="I84" s="106">
        <f t="shared" si="8"/>
        <v>0</v>
      </c>
      <c r="J84" s="106">
        <v>5</v>
      </c>
      <c r="K84" s="106">
        <f t="shared" si="9"/>
        <v>0</v>
      </c>
      <c r="L84" s="33">
        <v>0</v>
      </c>
      <c r="M84" s="33">
        <v>0</v>
      </c>
      <c r="N84" s="33">
        <v>0</v>
      </c>
      <c r="O84" s="33">
        <v>0</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5</v>
      </c>
    </row>
    <row r="85" spans="2:33" ht="13.5" customHeight="1" x14ac:dyDescent="0.3">
      <c r="B85" s="36"/>
      <c r="C85" s="119"/>
      <c r="D85" s="43"/>
      <c r="E85" s="120"/>
      <c r="F85" s="37"/>
      <c r="G85" s="110"/>
      <c r="H85" s="110"/>
      <c r="I85" s="110"/>
      <c r="J85" s="110"/>
      <c r="K85" s="110"/>
      <c r="L85" s="110"/>
      <c r="M85" s="110"/>
      <c r="N85" s="110"/>
      <c r="O85" s="110"/>
      <c r="P85" s="110"/>
      <c r="Q85" s="110"/>
      <c r="R85" s="112"/>
      <c r="S85" s="112"/>
      <c r="T85" s="112"/>
      <c r="U85" s="112"/>
      <c r="V85" s="112"/>
      <c r="W85" s="112"/>
      <c r="X85" s="112"/>
      <c r="Y85" s="112"/>
      <c r="Z85" s="112"/>
      <c r="AA85" s="112"/>
      <c r="AB85" s="112"/>
      <c r="AC85" s="112"/>
      <c r="AD85" s="112"/>
      <c r="AE85" s="112"/>
      <c r="AF85" s="112"/>
    </row>
    <row r="86" spans="2:33" ht="13.5" customHeight="1" x14ac:dyDescent="0.3">
      <c r="B86" s="50"/>
      <c r="C86" s="124"/>
      <c r="D86" s="125"/>
      <c r="E86" s="125"/>
      <c r="F86" s="126"/>
      <c r="G86" s="106"/>
      <c r="H86" s="106"/>
      <c r="I86" s="106"/>
      <c r="J86" s="106"/>
      <c r="K86" s="106"/>
      <c r="L86" s="106"/>
      <c r="M86" s="106"/>
      <c r="N86" s="106"/>
      <c r="O86" s="106"/>
      <c r="P86" s="106"/>
      <c r="Q86" s="106"/>
      <c r="R86" s="127"/>
      <c r="S86" s="127"/>
      <c r="T86" s="127"/>
      <c r="U86" s="127"/>
      <c r="V86" s="127"/>
      <c r="W86" s="127"/>
      <c r="X86" s="127"/>
      <c r="Y86" s="127"/>
      <c r="Z86" s="127"/>
      <c r="AA86" s="127"/>
      <c r="AB86" s="127"/>
      <c r="AC86" s="127"/>
      <c r="AD86" s="127"/>
      <c r="AE86" s="127"/>
      <c r="AF86" s="127"/>
    </row>
    <row r="87" spans="2:33" ht="13.5" customHeight="1" x14ac:dyDescent="0.3">
      <c r="B87" s="53"/>
      <c r="C87" s="57"/>
      <c r="D87" s="58"/>
      <c r="E87" s="58"/>
      <c r="F87" s="128" t="s">
        <v>233</v>
      </c>
      <c r="G87" s="129">
        <f>SUBTOTAL(9,G8:G85)</f>
        <v>308</v>
      </c>
      <c r="H87" s="129">
        <f>SUBTOTAL(9,H8:H85)</f>
        <v>300</v>
      </c>
      <c r="I87" s="129">
        <f>SUBTOTAL(9,I8:I85)</f>
        <v>8</v>
      </c>
      <c r="J87" s="129">
        <f>SUBTOTAL(9,J8:J85)</f>
        <v>334</v>
      </c>
      <c r="K87" s="129">
        <f>SUBTOTAL(9,K8:K85)</f>
        <v>26</v>
      </c>
      <c r="L87" s="129">
        <f t="shared" ref="L87:AF87" si="10">SUBTOTAL(9,L7:L84)</f>
        <v>3</v>
      </c>
      <c r="M87" s="129">
        <f t="shared" si="10"/>
        <v>6</v>
      </c>
      <c r="N87" s="129">
        <f t="shared" si="10"/>
        <v>4</v>
      </c>
      <c r="O87" s="129">
        <f t="shared" si="10"/>
        <v>10</v>
      </c>
      <c r="P87" s="129">
        <f t="shared" si="10"/>
        <v>10</v>
      </c>
      <c r="Q87" s="129">
        <f t="shared" si="10"/>
        <v>11</v>
      </c>
      <c r="R87" s="130">
        <f t="shared" si="10"/>
        <v>15</v>
      </c>
      <c r="S87" s="130">
        <f t="shared" si="10"/>
        <v>13</v>
      </c>
      <c r="T87" s="130">
        <f t="shared" si="10"/>
        <v>12</v>
      </c>
      <c r="U87" s="130">
        <f t="shared" si="10"/>
        <v>12</v>
      </c>
      <c r="V87" s="130">
        <f t="shared" si="10"/>
        <v>15</v>
      </c>
      <c r="W87" s="130">
        <f t="shared" si="10"/>
        <v>18</v>
      </c>
      <c r="X87" s="130">
        <f t="shared" si="10"/>
        <v>18</v>
      </c>
      <c r="Y87" s="130">
        <f t="shared" si="10"/>
        <v>17</v>
      </c>
      <c r="Z87" s="130">
        <f t="shared" si="10"/>
        <v>20</v>
      </c>
      <c r="AA87" s="130">
        <f t="shared" si="10"/>
        <v>24</v>
      </c>
      <c r="AB87" s="130">
        <f t="shared" si="10"/>
        <v>23</v>
      </c>
      <c r="AC87" s="130">
        <f t="shared" si="10"/>
        <v>19</v>
      </c>
      <c r="AD87" s="130">
        <f t="shared" si="10"/>
        <v>21</v>
      </c>
      <c r="AE87" s="130">
        <f t="shared" si="10"/>
        <v>14</v>
      </c>
      <c r="AF87" s="130">
        <f t="shared" si="10"/>
        <v>15</v>
      </c>
    </row>
    <row r="88" spans="2:33" ht="13.5" customHeight="1" x14ac:dyDescent="0.3">
      <c r="B88" s="53"/>
      <c r="C88" s="57"/>
      <c r="D88" s="58"/>
      <c r="E88" s="58"/>
      <c r="F88" s="128" t="s">
        <v>234</v>
      </c>
      <c r="G88" s="129"/>
      <c r="H88" s="129"/>
      <c r="I88" s="129"/>
      <c r="J88" s="129"/>
      <c r="K88" s="129"/>
      <c r="L88" s="129">
        <f>J87-L87</f>
        <v>331</v>
      </c>
      <c r="M88" s="129">
        <f t="shared" ref="M88:AF88" si="11">L88-M87</f>
        <v>325</v>
      </c>
      <c r="N88" s="129">
        <f t="shared" si="11"/>
        <v>321</v>
      </c>
      <c r="O88" s="129">
        <f t="shared" si="11"/>
        <v>311</v>
      </c>
      <c r="P88" s="129">
        <f t="shared" si="11"/>
        <v>301</v>
      </c>
      <c r="Q88" s="129">
        <f t="shared" si="11"/>
        <v>290</v>
      </c>
      <c r="R88" s="130">
        <f t="shared" si="11"/>
        <v>275</v>
      </c>
      <c r="S88" s="130">
        <f t="shared" si="11"/>
        <v>262</v>
      </c>
      <c r="T88" s="130">
        <f t="shared" si="11"/>
        <v>250</v>
      </c>
      <c r="U88" s="130">
        <f t="shared" si="11"/>
        <v>238</v>
      </c>
      <c r="V88" s="130">
        <f t="shared" si="11"/>
        <v>223</v>
      </c>
      <c r="W88" s="130">
        <f t="shared" si="11"/>
        <v>205</v>
      </c>
      <c r="X88" s="130">
        <f t="shared" si="11"/>
        <v>187</v>
      </c>
      <c r="Y88" s="130">
        <f t="shared" si="11"/>
        <v>170</v>
      </c>
      <c r="Z88" s="130">
        <f t="shared" si="11"/>
        <v>150</v>
      </c>
      <c r="AA88" s="130">
        <f t="shared" si="11"/>
        <v>126</v>
      </c>
      <c r="AB88" s="130">
        <f t="shared" si="11"/>
        <v>103</v>
      </c>
      <c r="AC88" s="130">
        <f t="shared" si="11"/>
        <v>84</v>
      </c>
      <c r="AD88" s="130">
        <f t="shared" si="11"/>
        <v>63</v>
      </c>
      <c r="AE88" s="130">
        <f t="shared" si="11"/>
        <v>49</v>
      </c>
      <c r="AF88" s="130">
        <f t="shared" si="11"/>
        <v>34</v>
      </c>
    </row>
    <row r="89" spans="2:33" ht="13.5" customHeight="1" x14ac:dyDescent="0.3">
      <c r="B89" s="53"/>
      <c r="C89" s="57"/>
      <c r="D89" s="58"/>
      <c r="E89" s="58"/>
      <c r="F89" s="128" t="s">
        <v>235</v>
      </c>
      <c r="G89" s="129"/>
      <c r="H89" s="129"/>
      <c r="I89" s="129"/>
      <c r="J89" s="129"/>
      <c r="K89" s="129"/>
      <c r="L89" s="129">
        <f>L87</f>
        <v>3</v>
      </c>
      <c r="M89" s="129">
        <f t="shared" ref="M89:AF89" si="12">L89+M87</f>
        <v>9</v>
      </c>
      <c r="N89" s="129">
        <f t="shared" si="12"/>
        <v>13</v>
      </c>
      <c r="O89" s="129">
        <f t="shared" si="12"/>
        <v>23</v>
      </c>
      <c r="P89" s="129">
        <f t="shared" si="12"/>
        <v>33</v>
      </c>
      <c r="Q89" s="129">
        <f t="shared" si="12"/>
        <v>44</v>
      </c>
      <c r="R89" s="130">
        <f t="shared" si="12"/>
        <v>59</v>
      </c>
      <c r="S89" s="130">
        <f t="shared" si="12"/>
        <v>72</v>
      </c>
      <c r="T89" s="130">
        <f t="shared" si="12"/>
        <v>84</v>
      </c>
      <c r="U89" s="130">
        <f t="shared" si="12"/>
        <v>96</v>
      </c>
      <c r="V89" s="130">
        <f t="shared" si="12"/>
        <v>111</v>
      </c>
      <c r="W89" s="130">
        <f t="shared" si="12"/>
        <v>129</v>
      </c>
      <c r="X89" s="130">
        <f t="shared" si="12"/>
        <v>147</v>
      </c>
      <c r="Y89" s="130">
        <f t="shared" si="12"/>
        <v>164</v>
      </c>
      <c r="Z89" s="130">
        <f t="shared" si="12"/>
        <v>184</v>
      </c>
      <c r="AA89" s="130">
        <f t="shared" si="12"/>
        <v>208</v>
      </c>
      <c r="AB89" s="130">
        <f t="shared" si="12"/>
        <v>231</v>
      </c>
      <c r="AC89" s="130">
        <f t="shared" si="12"/>
        <v>250</v>
      </c>
      <c r="AD89" s="130">
        <f t="shared" si="12"/>
        <v>271</v>
      </c>
      <c r="AE89" s="130">
        <f t="shared" si="12"/>
        <v>285</v>
      </c>
      <c r="AF89" s="130">
        <f t="shared" si="12"/>
        <v>300</v>
      </c>
    </row>
    <row r="90" spans="2:33" ht="13.5" customHeight="1" x14ac:dyDescent="0.3">
      <c r="B90" s="53"/>
      <c r="C90" s="57"/>
      <c r="D90" s="58"/>
      <c r="E90" s="58"/>
      <c r="F90" s="59" t="s">
        <v>236</v>
      </c>
      <c r="G90" s="59">
        <f>G87/21</f>
        <v>14.666666666666666</v>
      </c>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row>
    <row r="91" spans="2:33" ht="13.5" customHeight="1" x14ac:dyDescent="0.3">
      <c r="B91" s="22"/>
      <c r="C91" s="23"/>
      <c r="D91" s="21"/>
      <c r="E91" s="21"/>
      <c r="F91" s="59" t="s">
        <v>237</v>
      </c>
      <c r="G91" s="59"/>
      <c r="H91" s="59"/>
      <c r="I91" s="59"/>
      <c r="J91" s="59"/>
      <c r="K91" s="59">
        <f>$J87</f>
        <v>334</v>
      </c>
      <c r="L91" s="61">
        <f>364-$G$90</f>
        <v>349.33333333333331</v>
      </c>
      <c r="M91" s="61">
        <f t="shared" ref="M91:AF91" si="13">L91-$G$90</f>
        <v>334.66666666666663</v>
      </c>
      <c r="N91" s="61">
        <f t="shared" si="13"/>
        <v>319.99999999999994</v>
      </c>
      <c r="O91" s="61">
        <f t="shared" si="13"/>
        <v>305.33333333333326</v>
      </c>
      <c r="P91" s="61">
        <f t="shared" si="13"/>
        <v>290.66666666666657</v>
      </c>
      <c r="Q91" s="61">
        <f t="shared" si="13"/>
        <v>275.99999999999989</v>
      </c>
      <c r="R91" s="61">
        <f t="shared" si="13"/>
        <v>261.3333333333332</v>
      </c>
      <c r="S91" s="61">
        <f t="shared" si="13"/>
        <v>246.66666666666654</v>
      </c>
      <c r="T91" s="61">
        <f t="shared" si="13"/>
        <v>231.99999999999989</v>
      </c>
      <c r="U91" s="61">
        <f t="shared" si="13"/>
        <v>217.33333333333323</v>
      </c>
      <c r="V91" s="61">
        <f t="shared" si="13"/>
        <v>202.66666666666657</v>
      </c>
      <c r="W91" s="61">
        <f t="shared" si="13"/>
        <v>187.99999999999991</v>
      </c>
      <c r="X91" s="61">
        <f t="shared" si="13"/>
        <v>173.33333333333326</v>
      </c>
      <c r="Y91" s="61">
        <f t="shared" si="13"/>
        <v>158.6666666666666</v>
      </c>
      <c r="Z91" s="61">
        <f t="shared" si="13"/>
        <v>143.99999999999994</v>
      </c>
      <c r="AA91" s="61">
        <f t="shared" si="13"/>
        <v>129.33333333333329</v>
      </c>
      <c r="AB91" s="61">
        <f t="shared" si="13"/>
        <v>114.66666666666661</v>
      </c>
      <c r="AC91" s="61">
        <f t="shared" si="13"/>
        <v>99.999999999999943</v>
      </c>
      <c r="AD91" s="61">
        <f t="shared" si="13"/>
        <v>85.333333333333272</v>
      </c>
      <c r="AE91" s="61">
        <f t="shared" si="13"/>
        <v>70.6666666666666</v>
      </c>
      <c r="AF91" s="61">
        <f t="shared" si="13"/>
        <v>55.999999999999936</v>
      </c>
      <c r="AG91" s="61">
        <v>0</v>
      </c>
    </row>
    <row r="92" spans="2:33" ht="13.5" customHeight="1" x14ac:dyDescent="0.3">
      <c r="B92" s="22"/>
      <c r="C92" s="23"/>
      <c r="D92" s="21"/>
      <c r="E92" s="21"/>
      <c r="F92" s="59" t="s">
        <v>238</v>
      </c>
      <c r="G92" s="59"/>
      <c r="H92" s="59"/>
      <c r="I92" s="59"/>
      <c r="J92" s="59"/>
      <c r="K92" s="59">
        <f>$J87</f>
        <v>334</v>
      </c>
      <c r="L92" s="61">
        <f>J87-L87</f>
        <v>331</v>
      </c>
      <c r="M92" s="61">
        <f t="shared" ref="M92:AF92" si="14">L92-M87</f>
        <v>325</v>
      </c>
      <c r="N92" s="61">
        <f t="shared" si="14"/>
        <v>321</v>
      </c>
      <c r="O92" s="61">
        <f t="shared" si="14"/>
        <v>311</v>
      </c>
      <c r="P92" s="61">
        <f t="shared" si="14"/>
        <v>301</v>
      </c>
      <c r="Q92" s="61">
        <f t="shared" si="14"/>
        <v>290</v>
      </c>
      <c r="R92" s="61">
        <f t="shared" si="14"/>
        <v>275</v>
      </c>
      <c r="S92" s="61">
        <f t="shared" si="14"/>
        <v>262</v>
      </c>
      <c r="T92" s="61">
        <f t="shared" si="14"/>
        <v>250</v>
      </c>
      <c r="U92" s="61">
        <f t="shared" si="14"/>
        <v>238</v>
      </c>
      <c r="V92" s="61">
        <f t="shared" si="14"/>
        <v>223</v>
      </c>
      <c r="W92" s="61">
        <f t="shared" si="14"/>
        <v>205</v>
      </c>
      <c r="X92" s="61">
        <f t="shared" si="14"/>
        <v>187</v>
      </c>
      <c r="Y92" s="61">
        <f t="shared" si="14"/>
        <v>170</v>
      </c>
      <c r="Z92" s="61">
        <f t="shared" si="14"/>
        <v>150</v>
      </c>
      <c r="AA92" s="61">
        <f t="shared" si="14"/>
        <v>126</v>
      </c>
      <c r="AB92" s="61">
        <f t="shared" si="14"/>
        <v>103</v>
      </c>
      <c r="AC92" s="61">
        <f t="shared" si="14"/>
        <v>84</v>
      </c>
      <c r="AD92" s="61">
        <f t="shared" si="14"/>
        <v>63</v>
      </c>
      <c r="AE92" s="61">
        <f t="shared" si="14"/>
        <v>49</v>
      </c>
      <c r="AF92" s="61">
        <f t="shared" si="14"/>
        <v>34</v>
      </c>
      <c r="AG92" s="61">
        <v>0</v>
      </c>
    </row>
    <row r="93" spans="2:33" ht="15.75" customHeight="1" x14ac:dyDescent="0.3">
      <c r="B93" s="22"/>
      <c r="C93" s="23"/>
      <c r="D93" s="21"/>
      <c r="E93" s="21"/>
      <c r="F93" s="21"/>
      <c r="G93" s="21"/>
      <c r="H93" s="21"/>
      <c r="I93" s="21"/>
      <c r="J93" s="21"/>
      <c r="K93" s="21"/>
      <c r="L93" s="21"/>
      <c r="M93" s="21"/>
      <c r="N93" s="21"/>
      <c r="O93" s="21"/>
      <c r="P93" s="21"/>
      <c r="Q93" s="21"/>
    </row>
    <row r="94" spans="2:33" ht="15.75" customHeight="1" x14ac:dyDescent="0.3">
      <c r="B94" s="14"/>
      <c r="C94" s="66"/>
      <c r="K94" s="62" t="s">
        <v>146</v>
      </c>
      <c r="L94" s="59">
        <f t="shared" ref="L94:AE94" si="15">SUMIF($E8:$E84, "*"&amp;$K94&amp;"*",L8:L84)</f>
        <v>0</v>
      </c>
      <c r="M94" s="59">
        <f t="shared" si="15"/>
        <v>0</v>
      </c>
      <c r="N94" s="59">
        <f t="shared" si="15"/>
        <v>0</v>
      </c>
      <c r="O94" s="59">
        <f t="shared" si="15"/>
        <v>0</v>
      </c>
      <c r="P94" s="59">
        <f t="shared" si="15"/>
        <v>0</v>
      </c>
      <c r="Q94" s="59">
        <f t="shared" si="15"/>
        <v>0</v>
      </c>
      <c r="R94" s="59">
        <f t="shared" si="15"/>
        <v>0</v>
      </c>
      <c r="S94" s="59">
        <f t="shared" si="15"/>
        <v>1</v>
      </c>
      <c r="T94" s="59">
        <f t="shared" si="15"/>
        <v>1</v>
      </c>
      <c r="U94" s="59">
        <f t="shared" si="15"/>
        <v>1</v>
      </c>
      <c r="V94" s="59">
        <f t="shared" si="15"/>
        <v>1</v>
      </c>
      <c r="W94" s="59">
        <f t="shared" si="15"/>
        <v>4</v>
      </c>
      <c r="X94" s="59">
        <f t="shared" si="15"/>
        <v>6</v>
      </c>
      <c r="Y94" s="59">
        <f t="shared" si="15"/>
        <v>7</v>
      </c>
      <c r="Z94" s="59">
        <f t="shared" si="15"/>
        <v>7</v>
      </c>
      <c r="AA94" s="59">
        <f t="shared" si="15"/>
        <v>7</v>
      </c>
      <c r="AB94" s="59">
        <f t="shared" si="15"/>
        <v>7</v>
      </c>
      <c r="AC94" s="59">
        <f t="shared" si="15"/>
        <v>6</v>
      </c>
      <c r="AD94" s="59">
        <f t="shared" si="15"/>
        <v>4</v>
      </c>
      <c r="AE94" s="59">
        <f t="shared" si="15"/>
        <v>1</v>
      </c>
      <c r="AF94" s="59">
        <v>1</v>
      </c>
      <c r="AG94" s="59">
        <f t="shared" ref="AG94:AG98" si="16">SUM(L94:AF94)</f>
        <v>54</v>
      </c>
    </row>
    <row r="95" spans="2:33" ht="15.75" customHeight="1" x14ac:dyDescent="0.3">
      <c r="B95" s="14"/>
      <c r="C95" s="66"/>
      <c r="K95" s="63" t="s">
        <v>154</v>
      </c>
      <c r="L95" s="59">
        <f>SUMIF($E9:$E85, "*"&amp;$K95&amp;"*",L9:L85)</f>
        <v>0</v>
      </c>
      <c r="M95" s="59">
        <f>SUMIF($E9:$E85, "*"&amp;$K95&amp;"*",M9:M85)</f>
        <v>2</v>
      </c>
      <c r="N95" s="59">
        <f>SUMIF($E9:$E85, "*"&amp;$K95&amp;"*",N9:N85)</f>
        <v>2</v>
      </c>
      <c r="O95" s="59">
        <f>SUMIF($E9:$E85, "*"&amp;$K95&amp;"*",O9:O85)</f>
        <v>1</v>
      </c>
      <c r="P95" s="59">
        <f t="shared" ref="P95:AF95" si="17">SUMIF($E8:$E84, "*"&amp;$K95&amp;"*",P8:P84)</f>
        <v>0</v>
      </c>
      <c r="Q95" s="59">
        <f t="shared" si="17"/>
        <v>2</v>
      </c>
      <c r="R95" s="59">
        <f t="shared" si="17"/>
        <v>3</v>
      </c>
      <c r="S95" s="59">
        <f t="shared" si="17"/>
        <v>3</v>
      </c>
      <c r="T95" s="59">
        <f t="shared" si="17"/>
        <v>3</v>
      </c>
      <c r="U95" s="59">
        <f t="shared" si="17"/>
        <v>3</v>
      </c>
      <c r="V95" s="59">
        <f t="shared" si="17"/>
        <v>2</v>
      </c>
      <c r="W95" s="59">
        <f t="shared" si="17"/>
        <v>3</v>
      </c>
      <c r="X95" s="59">
        <f t="shared" si="17"/>
        <v>4</v>
      </c>
      <c r="Y95" s="59">
        <f t="shared" si="17"/>
        <v>2</v>
      </c>
      <c r="Z95" s="59">
        <f t="shared" si="17"/>
        <v>4</v>
      </c>
      <c r="AA95" s="59">
        <f t="shared" si="17"/>
        <v>4</v>
      </c>
      <c r="AB95" s="59">
        <f t="shared" si="17"/>
        <v>2</v>
      </c>
      <c r="AC95" s="59">
        <f t="shared" si="17"/>
        <v>0</v>
      </c>
      <c r="AD95" s="59">
        <f t="shared" si="17"/>
        <v>0</v>
      </c>
      <c r="AE95" s="59">
        <f t="shared" si="17"/>
        <v>1</v>
      </c>
      <c r="AF95" s="59">
        <f t="shared" si="17"/>
        <v>1</v>
      </c>
      <c r="AG95" s="59">
        <f t="shared" si="16"/>
        <v>42</v>
      </c>
    </row>
    <row r="96" spans="2:33" ht="15.75" customHeight="1" x14ac:dyDescent="0.3">
      <c r="B96" s="14"/>
      <c r="C96" s="66"/>
      <c r="K96" s="64" t="s">
        <v>143</v>
      </c>
      <c r="L96" s="59">
        <f t="shared" ref="L96:N97" si="18">SUMIF($E10:$E86, "*"&amp;$K96&amp;"*",L10:L86)</f>
        <v>0</v>
      </c>
      <c r="M96" s="59">
        <f t="shared" si="18"/>
        <v>1</v>
      </c>
      <c r="N96" s="59">
        <f t="shared" si="18"/>
        <v>1</v>
      </c>
      <c r="O96" s="59">
        <f>SUMIF($E8:$E84, "*"&amp;$K96&amp;"*",O8:O84)</f>
        <v>1</v>
      </c>
      <c r="P96" s="59">
        <f>SUMIF($E8:$E84, "*"&amp;$K96&amp;"*",P8:P84)</f>
        <v>0</v>
      </c>
      <c r="Q96" s="59">
        <f t="shared" ref="Q96:AF96" si="19">SUMIF($E10:$E86, "*"&amp;$K96&amp;"*",Q10:Q86)</f>
        <v>0</v>
      </c>
      <c r="R96" s="59">
        <f t="shared" si="19"/>
        <v>0</v>
      </c>
      <c r="S96" s="59">
        <f t="shared" si="19"/>
        <v>0</v>
      </c>
      <c r="T96" s="59">
        <f t="shared" si="19"/>
        <v>0</v>
      </c>
      <c r="U96" s="59">
        <f t="shared" si="19"/>
        <v>1</v>
      </c>
      <c r="V96" s="59">
        <f t="shared" si="19"/>
        <v>1</v>
      </c>
      <c r="W96" s="59">
        <f t="shared" si="19"/>
        <v>1</v>
      </c>
      <c r="X96" s="59">
        <f t="shared" si="19"/>
        <v>1</v>
      </c>
      <c r="Y96" s="59">
        <f t="shared" si="19"/>
        <v>1</v>
      </c>
      <c r="Z96" s="59">
        <f t="shared" si="19"/>
        <v>0</v>
      </c>
      <c r="AA96" s="59">
        <f t="shared" si="19"/>
        <v>0</v>
      </c>
      <c r="AB96" s="59">
        <f t="shared" si="19"/>
        <v>0</v>
      </c>
      <c r="AC96" s="59">
        <f t="shared" si="19"/>
        <v>0</v>
      </c>
      <c r="AD96" s="59">
        <f t="shared" si="19"/>
        <v>0</v>
      </c>
      <c r="AE96" s="59">
        <f t="shared" si="19"/>
        <v>0</v>
      </c>
      <c r="AF96" s="59">
        <f t="shared" si="19"/>
        <v>0</v>
      </c>
      <c r="AG96" s="59">
        <f t="shared" si="16"/>
        <v>8</v>
      </c>
    </row>
    <row r="97" spans="2:33" ht="15.75" customHeight="1" x14ac:dyDescent="0.3">
      <c r="B97" s="14"/>
      <c r="C97" s="66"/>
      <c r="K97" s="64" t="s">
        <v>136</v>
      </c>
      <c r="L97" s="59">
        <f t="shared" si="18"/>
        <v>0</v>
      </c>
      <c r="M97" s="59">
        <f t="shared" si="18"/>
        <v>1</v>
      </c>
      <c r="N97" s="59">
        <f t="shared" si="18"/>
        <v>1</v>
      </c>
      <c r="O97" s="59">
        <f>SUMIF($E8:$E84, "*"&amp;$K97&amp;"*",O8:O84)</f>
        <v>4</v>
      </c>
      <c r="P97" s="59">
        <f>SUMIF($E11:$E87, "*"&amp;$K97&amp;"*",P11:P87)</f>
        <v>6</v>
      </c>
      <c r="Q97" s="59">
        <f t="shared" ref="Q97:AF97" si="20">SUMIF($E11:$E87, "*"&amp;$K97&amp;"*",Q11:Q87)</f>
        <v>5</v>
      </c>
      <c r="R97" s="59">
        <f t="shared" si="20"/>
        <v>8</v>
      </c>
      <c r="S97" s="59">
        <f t="shared" si="20"/>
        <v>9</v>
      </c>
      <c r="T97" s="59">
        <f t="shared" si="20"/>
        <v>8</v>
      </c>
      <c r="U97" s="59">
        <f t="shared" si="20"/>
        <v>7</v>
      </c>
      <c r="V97" s="59">
        <f t="shared" si="20"/>
        <v>11</v>
      </c>
      <c r="W97" s="59">
        <f t="shared" si="20"/>
        <v>10</v>
      </c>
      <c r="X97" s="59">
        <f t="shared" si="20"/>
        <v>7</v>
      </c>
      <c r="Y97" s="59">
        <f t="shared" si="20"/>
        <v>7</v>
      </c>
      <c r="Z97" s="59">
        <f t="shared" si="20"/>
        <v>6</v>
      </c>
      <c r="AA97" s="59">
        <f t="shared" si="20"/>
        <v>8</v>
      </c>
      <c r="AB97" s="59">
        <f t="shared" si="20"/>
        <v>9</v>
      </c>
      <c r="AC97" s="59">
        <f t="shared" si="20"/>
        <v>8</v>
      </c>
      <c r="AD97" s="59">
        <f t="shared" si="20"/>
        <v>9</v>
      </c>
      <c r="AE97" s="59">
        <f t="shared" si="20"/>
        <v>9</v>
      </c>
      <c r="AF97" s="59">
        <f t="shared" si="20"/>
        <v>1</v>
      </c>
      <c r="AG97" s="59">
        <f t="shared" si="16"/>
        <v>134</v>
      </c>
    </row>
    <row r="98" spans="2:33" ht="15.75" customHeight="1" x14ac:dyDescent="0.3">
      <c r="B98" s="14"/>
      <c r="C98" s="66"/>
      <c r="K98" s="63" t="s">
        <v>151</v>
      </c>
      <c r="L98" s="59">
        <f>SUMIF($E12:$E88, "*"&amp;$K98&amp;"*",L12:L88)</f>
        <v>0</v>
      </c>
      <c r="M98" s="59">
        <f>SUMIF($E12:$E88, "*"&amp;$K98&amp;"*",M12:M88)</f>
        <v>0</v>
      </c>
      <c r="N98" s="59">
        <f>SUMIF($E8:$E84, "*"&amp;$K98&amp;"*",N8:N84)</f>
        <v>0</v>
      </c>
      <c r="O98" s="59">
        <f>SUMIF($E12:$E88, "*"&amp;$K98&amp;"*",O12:O88)</f>
        <v>0</v>
      </c>
      <c r="P98" s="59">
        <f t="shared" ref="P98:AE98" si="21">SUMIF($E8:$E84, "*"&amp;$K98&amp;"*",P8:P84)</f>
        <v>4</v>
      </c>
      <c r="Q98" s="59">
        <f t="shared" si="21"/>
        <v>4</v>
      </c>
      <c r="R98" s="59">
        <f t="shared" si="21"/>
        <v>4</v>
      </c>
      <c r="S98" s="59">
        <f t="shared" si="21"/>
        <v>0</v>
      </c>
      <c r="T98" s="59">
        <f t="shared" si="21"/>
        <v>0</v>
      </c>
      <c r="U98" s="59">
        <f t="shared" si="21"/>
        <v>0</v>
      </c>
      <c r="V98" s="59">
        <f t="shared" si="21"/>
        <v>0</v>
      </c>
      <c r="W98" s="59">
        <f t="shared" si="21"/>
        <v>0</v>
      </c>
      <c r="X98" s="59">
        <f t="shared" si="21"/>
        <v>0</v>
      </c>
      <c r="Y98" s="59">
        <f t="shared" si="21"/>
        <v>0</v>
      </c>
      <c r="Z98" s="59">
        <f t="shared" si="21"/>
        <v>3</v>
      </c>
      <c r="AA98" s="59">
        <f t="shared" si="21"/>
        <v>3</v>
      </c>
      <c r="AB98" s="59">
        <f t="shared" si="21"/>
        <v>3</v>
      </c>
      <c r="AC98" s="59">
        <f t="shared" si="21"/>
        <v>2</v>
      </c>
      <c r="AD98" s="59">
        <f t="shared" si="21"/>
        <v>2</v>
      </c>
      <c r="AE98" s="59">
        <f t="shared" si="21"/>
        <v>1</v>
      </c>
      <c r="AF98" s="59">
        <v>1</v>
      </c>
      <c r="AG98" s="59">
        <f t="shared" si="16"/>
        <v>27</v>
      </c>
    </row>
    <row r="99" spans="2:33" ht="15.75" customHeight="1" x14ac:dyDescent="0.3">
      <c r="B99" s="14"/>
      <c r="C99" s="66"/>
    </row>
    <row r="100" spans="2:33" ht="15.75" customHeight="1" x14ac:dyDescent="0.3">
      <c r="B100" s="14"/>
      <c r="C100" s="66"/>
    </row>
    <row r="101" spans="2:33" ht="15.75" customHeight="1" x14ac:dyDescent="0.3">
      <c r="B101" s="14"/>
      <c r="C101" s="66"/>
    </row>
    <row r="102" spans="2:33" ht="13.5" customHeight="1" x14ac:dyDescent="0.3">
      <c r="B102" s="14"/>
      <c r="C102" s="66"/>
    </row>
    <row r="103" spans="2:33" ht="13.5" customHeight="1" x14ac:dyDescent="0.3">
      <c r="B103" s="14"/>
      <c r="C103" s="66"/>
    </row>
    <row r="104" spans="2:33" ht="13.5" customHeight="1" x14ac:dyDescent="0.3">
      <c r="B104" s="14"/>
      <c r="C104" s="66"/>
    </row>
    <row r="105" spans="2:33" ht="13.5" customHeight="1" x14ac:dyDescent="0.3">
      <c r="B105" s="14"/>
      <c r="C105" s="66"/>
    </row>
    <row r="106" spans="2:33" ht="13.5" customHeight="1" x14ac:dyDescent="0.3">
      <c r="B106" s="14"/>
      <c r="C106" s="66"/>
    </row>
    <row r="107" spans="2:33" ht="13.5" customHeight="1" x14ac:dyDescent="0.3">
      <c r="B107" s="14"/>
      <c r="C107" s="66"/>
    </row>
    <row r="108" spans="2:33" ht="13.5" customHeight="1" x14ac:dyDescent="0.3">
      <c r="B108" s="14"/>
      <c r="C108" s="66"/>
    </row>
    <row r="109" spans="2:33" ht="13.5" customHeight="1" x14ac:dyDescent="0.3">
      <c r="B109" s="14"/>
      <c r="C109" s="66"/>
    </row>
    <row r="110" spans="2:33" ht="13.5" customHeight="1" x14ac:dyDescent="0.3">
      <c r="B110" s="14"/>
      <c r="C110" s="66"/>
    </row>
    <row r="111" spans="2:33" ht="13.5" customHeight="1" x14ac:dyDescent="0.3">
      <c r="B111" s="14"/>
      <c r="C111" s="66"/>
    </row>
    <row r="112" spans="2:33" ht="13.5" customHeight="1" x14ac:dyDescent="0.3">
      <c r="B112" s="14"/>
      <c r="C112" s="66"/>
    </row>
    <row r="113" spans="2:3" ht="13.5" customHeight="1" x14ac:dyDescent="0.3">
      <c r="B113" s="14"/>
      <c r="C113" s="66"/>
    </row>
    <row r="114" spans="2:3" ht="13.5" customHeight="1" x14ac:dyDescent="0.3">
      <c r="B114" s="14"/>
      <c r="C114" s="66"/>
    </row>
    <row r="115" spans="2:3" ht="13.5" customHeight="1" x14ac:dyDescent="0.3">
      <c r="B115" s="14"/>
      <c r="C115" s="66"/>
    </row>
    <row r="116" spans="2:3" ht="13.5" customHeight="1" x14ac:dyDescent="0.3">
      <c r="B116" s="14"/>
      <c r="C116" s="66"/>
    </row>
    <row r="117" spans="2:3" ht="13.5" customHeight="1" x14ac:dyDescent="0.3">
      <c r="B117" s="14"/>
      <c r="C117" s="66"/>
    </row>
    <row r="118" spans="2:3" ht="13.5" customHeight="1" x14ac:dyDescent="0.3">
      <c r="B118" s="14"/>
      <c r="C118" s="66"/>
    </row>
    <row r="119" spans="2:3" ht="13.5" customHeight="1" x14ac:dyDescent="0.3">
      <c r="B119" s="14"/>
      <c r="C119" s="66"/>
    </row>
    <row r="120" spans="2:3" ht="13.5" customHeight="1" x14ac:dyDescent="0.3">
      <c r="B120" s="14"/>
      <c r="C120" s="66"/>
    </row>
    <row r="121" spans="2:3" ht="13.5" customHeight="1" x14ac:dyDescent="0.3">
      <c r="B121" s="14"/>
      <c r="C121" s="66"/>
    </row>
    <row r="122" spans="2:3" ht="13.5" customHeight="1" x14ac:dyDescent="0.3">
      <c r="B122" s="14"/>
      <c r="C122" s="66"/>
    </row>
    <row r="123" spans="2:3" ht="13.5" customHeight="1" x14ac:dyDescent="0.3">
      <c r="B123" s="14"/>
      <c r="C123" s="66"/>
    </row>
    <row r="124" spans="2:3" ht="13.5" customHeight="1" x14ac:dyDescent="0.3">
      <c r="B124" s="14"/>
      <c r="C124" s="66"/>
    </row>
    <row r="125" spans="2:3" ht="13.5" customHeight="1" x14ac:dyDescent="0.3">
      <c r="B125" s="14"/>
      <c r="C125" s="66"/>
    </row>
    <row r="126" spans="2:3" ht="13.5" customHeight="1" x14ac:dyDescent="0.3">
      <c r="B126" s="14"/>
      <c r="C126" s="66"/>
    </row>
    <row r="127" spans="2:3" ht="13.5" customHeight="1" x14ac:dyDescent="0.3">
      <c r="B127" s="14"/>
      <c r="C127" s="66"/>
    </row>
    <row r="128" spans="2:3" ht="13.5" customHeight="1" x14ac:dyDescent="0.3">
      <c r="B128" s="14"/>
      <c r="C128" s="66"/>
    </row>
    <row r="129" spans="2:3" ht="13.5" customHeight="1" x14ac:dyDescent="0.3">
      <c r="B129" s="14"/>
      <c r="C129" s="66"/>
    </row>
    <row r="130" spans="2:3" ht="13.5" customHeight="1" x14ac:dyDescent="0.3">
      <c r="B130" s="14"/>
      <c r="C130" s="66"/>
    </row>
    <row r="131" spans="2:3" ht="13.5" customHeight="1" x14ac:dyDescent="0.3">
      <c r="B131" s="14"/>
      <c r="C131" s="66"/>
    </row>
    <row r="132" spans="2:3" ht="13.5" customHeight="1" x14ac:dyDescent="0.3">
      <c r="B132" s="14"/>
      <c r="C132" s="66"/>
    </row>
    <row r="133" spans="2:3" ht="13.5" customHeight="1" x14ac:dyDescent="0.3">
      <c r="B133" s="14"/>
      <c r="C133" s="66"/>
    </row>
    <row r="134" spans="2:3" ht="13.5" customHeight="1" x14ac:dyDescent="0.3">
      <c r="B134" s="14"/>
      <c r="C134" s="66"/>
    </row>
    <row r="135" spans="2:3" ht="13.5" customHeight="1" x14ac:dyDescent="0.3">
      <c r="B135" s="14"/>
      <c r="C135" s="66"/>
    </row>
    <row r="136" spans="2:3" ht="13.5" customHeight="1" x14ac:dyDescent="0.3">
      <c r="B136" s="14"/>
      <c r="C136" s="66"/>
    </row>
    <row r="137" spans="2:3" ht="13.5" customHeight="1" x14ac:dyDescent="0.3">
      <c r="B137" s="14"/>
      <c r="C137" s="66"/>
    </row>
    <row r="138" spans="2:3" ht="13.5" customHeight="1" x14ac:dyDescent="0.3">
      <c r="B138" s="14"/>
      <c r="C138" s="66"/>
    </row>
    <row r="139" spans="2:3" ht="13.5" customHeight="1" x14ac:dyDescent="0.3">
      <c r="B139" s="14"/>
      <c r="C139" s="66"/>
    </row>
    <row r="140" spans="2:3" ht="13.5" customHeight="1" x14ac:dyDescent="0.3">
      <c r="B140" s="14"/>
      <c r="C140" s="66"/>
    </row>
    <row r="141" spans="2:3" ht="13.5" customHeight="1" x14ac:dyDescent="0.3">
      <c r="B141" s="14"/>
      <c r="C141" s="66"/>
    </row>
    <row r="142" spans="2:3" ht="13.5" customHeight="1" x14ac:dyDescent="0.3">
      <c r="B142" s="14"/>
      <c r="C142" s="66"/>
    </row>
    <row r="143" spans="2:3" ht="13.5" customHeight="1" x14ac:dyDescent="0.3">
      <c r="B143" s="14"/>
      <c r="C143" s="66"/>
    </row>
    <row r="144" spans="2:3" ht="13.5" customHeight="1" x14ac:dyDescent="0.3">
      <c r="B144" s="14"/>
      <c r="C144" s="66"/>
    </row>
    <row r="145" spans="2:3" ht="13.5" customHeight="1" x14ac:dyDescent="0.3">
      <c r="B145" s="14"/>
      <c r="C145" s="66"/>
    </row>
    <row r="146" spans="2:3" ht="13.5" customHeight="1" x14ac:dyDescent="0.3">
      <c r="B146" s="14"/>
      <c r="C146" s="66"/>
    </row>
    <row r="147" spans="2:3" ht="13.5" customHeight="1" x14ac:dyDescent="0.3">
      <c r="B147" s="14"/>
      <c r="C147" s="66"/>
    </row>
    <row r="148" spans="2:3" ht="13.5" customHeight="1" x14ac:dyDescent="0.3">
      <c r="B148" s="14"/>
      <c r="C148" s="66"/>
    </row>
    <row r="149" spans="2:3" ht="13.5" customHeight="1" x14ac:dyDescent="0.3">
      <c r="B149" s="14"/>
      <c r="C149" s="66"/>
    </row>
    <row r="150" spans="2:3" ht="13.5" customHeight="1" x14ac:dyDescent="0.3">
      <c r="B150" s="14"/>
      <c r="C150" s="66"/>
    </row>
    <row r="151" spans="2:3" ht="13.5" customHeight="1" x14ac:dyDescent="0.3">
      <c r="B151" s="14"/>
      <c r="C151" s="66"/>
    </row>
    <row r="152" spans="2:3" ht="13.5" customHeight="1" x14ac:dyDescent="0.3">
      <c r="B152" s="14"/>
      <c r="C152" s="66"/>
    </row>
    <row r="153" spans="2:3" ht="13.5" customHeight="1" x14ac:dyDescent="0.3">
      <c r="B153" s="14"/>
      <c r="C153" s="66"/>
    </row>
    <row r="154" spans="2:3" ht="13.5" customHeight="1" x14ac:dyDescent="0.3">
      <c r="B154" s="14"/>
      <c r="C154" s="66"/>
    </row>
    <row r="155" spans="2:3" ht="13.5" customHeight="1" x14ac:dyDescent="0.3">
      <c r="B155" s="14"/>
      <c r="C155" s="66"/>
    </row>
    <row r="156" spans="2:3" ht="13.5" customHeight="1" x14ac:dyDescent="0.3">
      <c r="B156" s="14"/>
      <c r="C156" s="66"/>
    </row>
    <row r="157" spans="2:3" ht="13.5" customHeight="1" x14ac:dyDescent="0.3">
      <c r="B157" s="14"/>
      <c r="C157" s="66"/>
    </row>
    <row r="158" spans="2:3" ht="13.5" customHeight="1" x14ac:dyDescent="0.3">
      <c r="B158" s="14"/>
      <c r="C158" s="66"/>
    </row>
    <row r="159" spans="2:3" ht="13.5" customHeight="1" x14ac:dyDescent="0.3">
      <c r="B159" s="14"/>
      <c r="C159" s="66"/>
    </row>
    <row r="160" spans="2:3" ht="13.5" customHeight="1" x14ac:dyDescent="0.3">
      <c r="B160" s="14"/>
      <c r="C160" s="66"/>
    </row>
    <row r="161" spans="2:3" ht="13.5" customHeight="1" x14ac:dyDescent="0.3">
      <c r="B161" s="14"/>
      <c r="C161" s="66"/>
    </row>
    <row r="162" spans="2:3" ht="13.5" customHeight="1" x14ac:dyDescent="0.3">
      <c r="B162" s="14"/>
      <c r="C162" s="66"/>
    </row>
    <row r="163" spans="2:3" ht="13.5" customHeight="1" x14ac:dyDescent="0.3">
      <c r="B163" s="14"/>
      <c r="C163" s="66"/>
    </row>
    <row r="164" spans="2:3" ht="13.5" customHeight="1" x14ac:dyDescent="0.3">
      <c r="B164" s="14"/>
      <c r="C164" s="66"/>
    </row>
    <row r="165" spans="2:3" ht="13.5" customHeight="1" x14ac:dyDescent="0.3">
      <c r="B165" s="14"/>
      <c r="C165" s="66"/>
    </row>
    <row r="166" spans="2:3" ht="13.5" customHeight="1" x14ac:dyDescent="0.3">
      <c r="B166" s="14"/>
      <c r="C166" s="66"/>
    </row>
    <row r="167" spans="2:3" ht="13.5" customHeight="1" x14ac:dyDescent="0.3">
      <c r="B167" s="14"/>
      <c r="C167" s="66"/>
    </row>
    <row r="168" spans="2:3" ht="13.5" customHeight="1" x14ac:dyDescent="0.3">
      <c r="B168" s="14"/>
      <c r="C168" s="66"/>
    </row>
    <row r="169" spans="2:3" ht="13.5" customHeight="1" x14ac:dyDescent="0.3">
      <c r="B169" s="14"/>
      <c r="C169" s="66"/>
    </row>
    <row r="170" spans="2:3" ht="13.5" customHeight="1" x14ac:dyDescent="0.3">
      <c r="B170" s="14"/>
      <c r="C170" s="66"/>
    </row>
    <row r="171" spans="2:3" ht="13.5" customHeight="1" x14ac:dyDescent="0.3">
      <c r="B171" s="14"/>
      <c r="C171" s="66"/>
    </row>
    <row r="172" spans="2:3" ht="13.5" customHeight="1" x14ac:dyDescent="0.3">
      <c r="B172" s="14"/>
      <c r="C172" s="66"/>
    </row>
    <row r="173" spans="2:3" ht="13.5" customHeight="1" x14ac:dyDescent="0.3">
      <c r="B173" s="14"/>
      <c r="C173" s="66"/>
    </row>
    <row r="174" spans="2:3" ht="13.5" customHeight="1" x14ac:dyDescent="0.3">
      <c r="B174" s="14"/>
      <c r="C174" s="66"/>
    </row>
    <row r="175" spans="2:3" ht="13.5" customHeight="1" x14ac:dyDescent="0.3">
      <c r="B175" s="14"/>
      <c r="C175" s="66"/>
    </row>
    <row r="176" spans="2:3" ht="13.5" customHeight="1" x14ac:dyDescent="0.3">
      <c r="B176" s="14"/>
      <c r="C176" s="66"/>
    </row>
    <row r="177" spans="2:3" ht="13.5" customHeight="1" x14ac:dyDescent="0.3">
      <c r="B177" s="14"/>
      <c r="C177" s="66"/>
    </row>
    <row r="178" spans="2:3" ht="13.5" customHeight="1" x14ac:dyDescent="0.3">
      <c r="B178" s="14"/>
      <c r="C178" s="66"/>
    </row>
    <row r="179" spans="2:3" ht="13.5" customHeight="1" x14ac:dyDescent="0.3">
      <c r="B179" s="14"/>
      <c r="C179" s="66"/>
    </row>
    <row r="180" spans="2:3" ht="13.5" customHeight="1" x14ac:dyDescent="0.3">
      <c r="B180" s="14"/>
      <c r="C180" s="66"/>
    </row>
    <row r="181" spans="2:3" ht="13.5" customHeight="1" x14ac:dyDescent="0.3">
      <c r="B181" s="14"/>
      <c r="C181" s="66"/>
    </row>
    <row r="182" spans="2:3" ht="13.5" customHeight="1" x14ac:dyDescent="0.3">
      <c r="B182" s="14"/>
      <c r="C182" s="66"/>
    </row>
    <row r="183" spans="2:3" ht="13.5" customHeight="1" x14ac:dyDescent="0.3">
      <c r="B183" s="14"/>
      <c r="C183" s="66"/>
    </row>
    <row r="184" spans="2:3" ht="13.5" customHeight="1" x14ac:dyDescent="0.3">
      <c r="B184" s="14"/>
      <c r="C184" s="66"/>
    </row>
    <row r="185" spans="2:3" ht="13.5" customHeight="1" x14ac:dyDescent="0.3">
      <c r="B185" s="14"/>
      <c r="C185" s="66"/>
    </row>
    <row r="186" spans="2:3" ht="13.5" customHeight="1" x14ac:dyDescent="0.3">
      <c r="B186" s="14"/>
      <c r="C186" s="66"/>
    </row>
    <row r="187" spans="2:3" ht="13.5" customHeight="1" x14ac:dyDescent="0.3">
      <c r="B187" s="14"/>
      <c r="C187" s="66"/>
    </row>
    <row r="188" spans="2:3" ht="13.5" customHeight="1" x14ac:dyDescent="0.3">
      <c r="B188" s="14"/>
      <c r="C188" s="66"/>
    </row>
    <row r="189" spans="2:3" ht="13.5" customHeight="1" x14ac:dyDescent="0.3">
      <c r="B189" s="14"/>
      <c r="C189" s="66"/>
    </row>
    <row r="190" spans="2:3" ht="13.5" customHeight="1" x14ac:dyDescent="0.3">
      <c r="B190" s="14"/>
      <c r="C190" s="66"/>
    </row>
    <row r="191" spans="2:3" ht="13.5" customHeight="1" x14ac:dyDescent="0.3">
      <c r="B191" s="14"/>
      <c r="C191" s="66"/>
    </row>
    <row r="192" spans="2:3" ht="13.5" customHeight="1" x14ac:dyDescent="0.3">
      <c r="B192" s="14"/>
      <c r="C192" s="66"/>
    </row>
    <row r="193" spans="2:3" ht="13.5" customHeight="1" x14ac:dyDescent="0.3">
      <c r="B193" s="14"/>
      <c r="C193" s="66"/>
    </row>
    <row r="194" spans="2:3" ht="13.5" customHeight="1" x14ac:dyDescent="0.3">
      <c r="B194" s="14"/>
      <c r="C194" s="66"/>
    </row>
    <row r="195" spans="2:3" ht="13.5" customHeight="1" x14ac:dyDescent="0.3">
      <c r="B195" s="14"/>
      <c r="C195" s="66"/>
    </row>
    <row r="196" spans="2:3" ht="13.5" customHeight="1" x14ac:dyDescent="0.3">
      <c r="B196" s="14"/>
      <c r="C196" s="66"/>
    </row>
    <row r="197" spans="2:3" ht="13.5" customHeight="1" x14ac:dyDescent="0.3">
      <c r="B197" s="14"/>
      <c r="C197" s="66"/>
    </row>
    <row r="198" spans="2:3" ht="13.5" customHeight="1" x14ac:dyDescent="0.3">
      <c r="B198" s="14"/>
      <c r="C198" s="66"/>
    </row>
    <row r="199" spans="2:3" ht="13.5" customHeight="1" x14ac:dyDescent="0.3">
      <c r="B199" s="14"/>
      <c r="C199" s="66"/>
    </row>
    <row r="200" spans="2:3" ht="13.5" customHeight="1" x14ac:dyDescent="0.3">
      <c r="B200" s="14"/>
      <c r="C200" s="66"/>
    </row>
    <row r="201" spans="2:3" ht="13.5" customHeight="1" x14ac:dyDescent="0.3">
      <c r="B201" s="14"/>
      <c r="C201" s="66"/>
    </row>
    <row r="202" spans="2:3" ht="13.5" customHeight="1" x14ac:dyDescent="0.3">
      <c r="B202" s="14"/>
      <c r="C202" s="66"/>
    </row>
    <row r="203" spans="2:3" ht="13.5" customHeight="1" x14ac:dyDescent="0.3">
      <c r="B203" s="14"/>
      <c r="C203" s="66"/>
    </row>
    <row r="204" spans="2:3" ht="13.5" customHeight="1" x14ac:dyDescent="0.3">
      <c r="B204" s="14"/>
      <c r="C204" s="66"/>
    </row>
    <row r="205" spans="2:3" ht="13.5" customHeight="1" x14ac:dyDescent="0.3">
      <c r="B205" s="14"/>
      <c r="C205" s="66"/>
    </row>
    <row r="206" spans="2:3" ht="13.5" customHeight="1" x14ac:dyDescent="0.3">
      <c r="B206" s="14"/>
      <c r="C206" s="66"/>
    </row>
    <row r="207" spans="2:3" ht="13.5" customHeight="1" x14ac:dyDescent="0.3">
      <c r="B207" s="14"/>
      <c r="C207" s="66"/>
    </row>
    <row r="208" spans="2:3" ht="13.5" customHeight="1" x14ac:dyDescent="0.3">
      <c r="B208" s="14"/>
      <c r="C208" s="66"/>
    </row>
    <row r="209" spans="2:3" ht="13.5" customHeight="1" x14ac:dyDescent="0.3">
      <c r="B209" s="14"/>
      <c r="C209" s="66"/>
    </row>
    <row r="210" spans="2:3" ht="13.5" customHeight="1" x14ac:dyDescent="0.3">
      <c r="B210" s="14"/>
      <c r="C210" s="66"/>
    </row>
    <row r="211" spans="2:3" ht="13.5" customHeight="1" x14ac:dyDescent="0.3">
      <c r="B211" s="14"/>
      <c r="C211" s="66"/>
    </row>
    <row r="212" spans="2:3" ht="13.5" customHeight="1" x14ac:dyDescent="0.3">
      <c r="B212" s="14"/>
      <c r="C212" s="66"/>
    </row>
    <row r="213" spans="2:3" ht="13.5" customHeight="1" x14ac:dyDescent="0.3">
      <c r="B213" s="14"/>
      <c r="C213" s="66"/>
    </row>
    <row r="214" spans="2:3" ht="13.5" customHeight="1" x14ac:dyDescent="0.3">
      <c r="B214" s="14"/>
      <c r="C214" s="66"/>
    </row>
    <row r="215" spans="2:3" ht="13.5" customHeight="1" x14ac:dyDescent="0.3">
      <c r="B215" s="14"/>
      <c r="C215" s="66"/>
    </row>
    <row r="216" spans="2:3" ht="13.5" customHeight="1" x14ac:dyDescent="0.3">
      <c r="B216" s="14"/>
      <c r="C216" s="66"/>
    </row>
    <row r="217" spans="2:3" ht="13.5" customHeight="1" x14ac:dyDescent="0.3">
      <c r="B217" s="14"/>
      <c r="C217" s="66"/>
    </row>
    <row r="218" spans="2:3" ht="13.5" customHeight="1" x14ac:dyDescent="0.3">
      <c r="B218" s="14"/>
      <c r="C218" s="66"/>
    </row>
    <row r="219" spans="2:3" ht="13.5" customHeight="1" x14ac:dyDescent="0.3">
      <c r="B219" s="14"/>
      <c r="C219" s="66"/>
    </row>
    <row r="220" spans="2:3" ht="13.5" customHeight="1" x14ac:dyDescent="0.3">
      <c r="B220" s="14"/>
      <c r="C220" s="66"/>
    </row>
    <row r="221" spans="2:3" ht="13.5" customHeight="1" x14ac:dyDescent="0.3">
      <c r="B221" s="14"/>
      <c r="C221" s="66"/>
    </row>
    <row r="222" spans="2:3" ht="13.5" customHeight="1" x14ac:dyDescent="0.3">
      <c r="B222" s="14"/>
      <c r="C222" s="66"/>
    </row>
    <row r="223" spans="2:3" ht="13.5" customHeight="1" x14ac:dyDescent="0.3">
      <c r="B223" s="14"/>
      <c r="C223" s="66"/>
    </row>
    <row r="224" spans="2:3" ht="13.5" customHeight="1" x14ac:dyDescent="0.3">
      <c r="B224" s="14"/>
      <c r="C224" s="66"/>
    </row>
    <row r="225" spans="2:3" ht="13.5" customHeight="1" x14ac:dyDescent="0.3">
      <c r="B225" s="14"/>
      <c r="C225" s="66"/>
    </row>
    <row r="226" spans="2:3" ht="13.5" customHeight="1" x14ac:dyDescent="0.3">
      <c r="B226" s="14"/>
      <c r="C226" s="66"/>
    </row>
    <row r="227" spans="2:3" ht="13.5" customHeight="1" x14ac:dyDescent="0.3">
      <c r="B227" s="14"/>
      <c r="C227" s="66"/>
    </row>
    <row r="228" spans="2:3" ht="13.5" customHeight="1" x14ac:dyDescent="0.3">
      <c r="B228" s="14"/>
      <c r="C228" s="66"/>
    </row>
    <row r="229" spans="2:3" ht="13.5" customHeight="1" x14ac:dyDescent="0.3">
      <c r="B229" s="14"/>
      <c r="C229" s="66"/>
    </row>
    <row r="230" spans="2:3" ht="13.5" customHeight="1" x14ac:dyDescent="0.3">
      <c r="B230" s="14"/>
      <c r="C230" s="66"/>
    </row>
    <row r="231" spans="2:3" ht="13.5" customHeight="1" x14ac:dyDescent="0.3">
      <c r="B231" s="14"/>
      <c r="C231" s="66"/>
    </row>
    <row r="232" spans="2:3" ht="13.5" customHeight="1" x14ac:dyDescent="0.3">
      <c r="B232" s="14"/>
      <c r="C232" s="66"/>
    </row>
    <row r="233" spans="2:3" ht="13.5" customHeight="1" x14ac:dyDescent="0.3">
      <c r="B233" s="14"/>
      <c r="C233" s="66"/>
    </row>
    <row r="234" spans="2:3" ht="13.5" customHeight="1" x14ac:dyDescent="0.3">
      <c r="B234" s="14"/>
      <c r="C234" s="66"/>
    </row>
    <row r="235" spans="2:3" ht="13.5" customHeight="1" x14ac:dyDescent="0.3">
      <c r="B235" s="14"/>
      <c r="C235" s="66"/>
    </row>
    <row r="236" spans="2:3" ht="13.5" customHeight="1" x14ac:dyDescent="0.3">
      <c r="B236" s="14"/>
      <c r="C236" s="66"/>
    </row>
    <row r="237" spans="2:3" ht="13.5" customHeight="1" x14ac:dyDescent="0.3">
      <c r="B237" s="14"/>
      <c r="C237" s="66"/>
    </row>
    <row r="238" spans="2:3" ht="13.5" customHeight="1" x14ac:dyDescent="0.3">
      <c r="B238" s="14"/>
      <c r="C238" s="66"/>
    </row>
    <row r="239" spans="2:3" ht="13.5" customHeight="1" x14ac:dyDescent="0.3">
      <c r="B239" s="14"/>
      <c r="C239" s="66"/>
    </row>
    <row r="240" spans="2:3" ht="13.5" customHeight="1" x14ac:dyDescent="0.3">
      <c r="B240" s="14"/>
      <c r="C240" s="66"/>
    </row>
    <row r="241" spans="2:3" ht="13.5" customHeight="1" x14ac:dyDescent="0.3">
      <c r="B241" s="14"/>
      <c r="C241" s="66"/>
    </row>
    <row r="242" spans="2:3" ht="13.5" customHeight="1" x14ac:dyDescent="0.3">
      <c r="B242" s="14"/>
      <c r="C242" s="66"/>
    </row>
    <row r="243" spans="2:3" ht="13.5" customHeight="1" x14ac:dyDescent="0.3">
      <c r="B243" s="14"/>
      <c r="C243" s="66"/>
    </row>
    <row r="244" spans="2:3" ht="13.5" customHeight="1" x14ac:dyDescent="0.3">
      <c r="B244" s="14"/>
      <c r="C244" s="66"/>
    </row>
    <row r="245" spans="2:3" ht="13.5" customHeight="1" x14ac:dyDescent="0.3">
      <c r="B245" s="14"/>
      <c r="C245" s="66"/>
    </row>
    <row r="246" spans="2:3" ht="13.5" customHeight="1" x14ac:dyDescent="0.3">
      <c r="B246" s="14"/>
      <c r="C246" s="66"/>
    </row>
    <row r="247" spans="2:3" ht="13.5" customHeight="1" x14ac:dyDescent="0.3">
      <c r="B247" s="14"/>
      <c r="C247" s="66"/>
    </row>
    <row r="248" spans="2:3" ht="13.5" customHeight="1" x14ac:dyDescent="0.3">
      <c r="B248" s="14"/>
      <c r="C248" s="66"/>
    </row>
    <row r="249" spans="2:3" ht="13.5" customHeight="1" x14ac:dyDescent="0.3">
      <c r="B249" s="14"/>
      <c r="C249" s="66"/>
    </row>
    <row r="250" spans="2:3" ht="13.5" customHeight="1" x14ac:dyDescent="0.3">
      <c r="B250" s="14"/>
      <c r="C250" s="66"/>
    </row>
    <row r="251" spans="2:3" ht="13.5" customHeight="1" x14ac:dyDescent="0.3">
      <c r="B251" s="14"/>
      <c r="C251" s="66"/>
    </row>
    <row r="252" spans="2:3" ht="13.5" customHeight="1" x14ac:dyDescent="0.3">
      <c r="B252" s="14"/>
      <c r="C252" s="66"/>
    </row>
    <row r="253" spans="2:3" ht="13.5" customHeight="1" x14ac:dyDescent="0.3">
      <c r="B253" s="14"/>
      <c r="C253" s="66"/>
    </row>
    <row r="254" spans="2:3" ht="13.5" customHeight="1" x14ac:dyDescent="0.3">
      <c r="B254" s="14"/>
      <c r="C254" s="66"/>
    </row>
    <row r="255" spans="2:3" ht="13.5" customHeight="1" x14ac:dyDescent="0.3">
      <c r="B255" s="14"/>
      <c r="C255" s="66"/>
    </row>
    <row r="256" spans="2:3" ht="13.5" customHeight="1" x14ac:dyDescent="0.3">
      <c r="B256" s="14"/>
      <c r="C256" s="66"/>
    </row>
    <row r="257" spans="2:3" ht="13.5" customHeight="1" x14ac:dyDescent="0.3">
      <c r="B257" s="14"/>
      <c r="C257" s="66"/>
    </row>
    <row r="258" spans="2:3" ht="13.5" customHeight="1" x14ac:dyDescent="0.3">
      <c r="B258" s="14"/>
      <c r="C258" s="66"/>
    </row>
    <row r="259" spans="2:3" ht="13.5" customHeight="1" x14ac:dyDescent="0.3">
      <c r="B259" s="14"/>
      <c r="C259" s="66"/>
    </row>
    <row r="260" spans="2:3" ht="13.5" customHeight="1" x14ac:dyDescent="0.3">
      <c r="B260" s="14"/>
      <c r="C260" s="66"/>
    </row>
    <row r="261" spans="2:3" ht="13.5" customHeight="1" x14ac:dyDescent="0.3">
      <c r="B261" s="14"/>
      <c r="C261" s="66"/>
    </row>
    <row r="262" spans="2:3" ht="13.5" customHeight="1" x14ac:dyDescent="0.3">
      <c r="B262" s="14"/>
      <c r="C262" s="66"/>
    </row>
    <row r="263" spans="2:3" ht="13.5" customHeight="1" x14ac:dyDescent="0.3">
      <c r="B263" s="14"/>
      <c r="C263" s="66"/>
    </row>
    <row r="264" spans="2:3" ht="13.5" customHeight="1" x14ac:dyDescent="0.3">
      <c r="B264" s="14"/>
      <c r="C264" s="66"/>
    </row>
    <row r="265" spans="2:3" ht="13.5" customHeight="1" x14ac:dyDescent="0.3">
      <c r="B265" s="14"/>
      <c r="C265" s="66"/>
    </row>
    <row r="266" spans="2:3" ht="13.5" customHeight="1" x14ac:dyDescent="0.3">
      <c r="B266" s="14"/>
      <c r="C266" s="66"/>
    </row>
    <row r="267" spans="2:3" ht="13.5" customHeight="1" x14ac:dyDescent="0.3">
      <c r="B267" s="14"/>
      <c r="C267" s="66"/>
    </row>
    <row r="268" spans="2:3" ht="13.5" customHeight="1" x14ac:dyDescent="0.3">
      <c r="B268" s="14"/>
      <c r="C268" s="66"/>
    </row>
    <row r="269" spans="2:3" ht="13.5" customHeight="1" x14ac:dyDescent="0.3">
      <c r="B269" s="14"/>
      <c r="C269" s="66"/>
    </row>
    <row r="270" spans="2:3" ht="13.5" customHeight="1" x14ac:dyDescent="0.3">
      <c r="B270" s="14"/>
      <c r="C270" s="66"/>
    </row>
    <row r="271" spans="2:3" ht="13.5" customHeight="1" x14ac:dyDescent="0.3">
      <c r="B271" s="14"/>
      <c r="C271" s="66"/>
    </row>
    <row r="272" spans="2:3" ht="13.5" customHeight="1" x14ac:dyDescent="0.3">
      <c r="B272" s="14"/>
      <c r="C272" s="66"/>
    </row>
    <row r="273" spans="2:3" ht="13.5" customHeight="1" x14ac:dyDescent="0.3">
      <c r="B273" s="14"/>
      <c r="C273" s="66"/>
    </row>
    <row r="274" spans="2:3" ht="13.5" customHeight="1" x14ac:dyDescent="0.3">
      <c r="B274" s="14"/>
      <c r="C274" s="66"/>
    </row>
    <row r="275" spans="2:3" ht="13.5" customHeight="1" x14ac:dyDescent="0.3">
      <c r="B275" s="14"/>
      <c r="C275" s="66"/>
    </row>
    <row r="276" spans="2:3" ht="13.5" customHeight="1" x14ac:dyDescent="0.3">
      <c r="B276" s="14"/>
      <c r="C276" s="66"/>
    </row>
    <row r="277" spans="2:3" ht="13.5" customHeight="1" x14ac:dyDescent="0.3">
      <c r="B277" s="14"/>
      <c r="C277" s="66"/>
    </row>
    <row r="278" spans="2:3" ht="13.5" customHeight="1" x14ac:dyDescent="0.3">
      <c r="B278" s="14"/>
      <c r="C278" s="66"/>
    </row>
    <row r="279" spans="2:3" ht="13.5" customHeight="1" x14ac:dyDescent="0.3">
      <c r="B279" s="14"/>
      <c r="C279" s="66"/>
    </row>
    <row r="280" spans="2:3" ht="13.5" customHeight="1" x14ac:dyDescent="0.3">
      <c r="B280" s="14"/>
      <c r="C280" s="66"/>
    </row>
    <row r="281" spans="2:3" ht="13.5" customHeight="1" x14ac:dyDescent="0.3">
      <c r="B281" s="14"/>
      <c r="C281" s="66"/>
    </row>
    <row r="282" spans="2:3" ht="13.5" customHeight="1" x14ac:dyDescent="0.3">
      <c r="B282" s="14"/>
      <c r="C282" s="66"/>
    </row>
    <row r="283" spans="2:3" ht="13.5" customHeight="1" x14ac:dyDescent="0.3">
      <c r="B283" s="14"/>
      <c r="C283" s="66"/>
    </row>
    <row r="284" spans="2:3" ht="13.5" customHeight="1" x14ac:dyDescent="0.3">
      <c r="B284" s="14"/>
      <c r="C284" s="66"/>
    </row>
    <row r="285" spans="2:3" ht="13.5" customHeight="1" x14ac:dyDescent="0.3">
      <c r="B285" s="14"/>
      <c r="C285" s="66"/>
    </row>
    <row r="286" spans="2:3" ht="13.5" customHeight="1" x14ac:dyDescent="0.3">
      <c r="B286" s="14"/>
      <c r="C286" s="66"/>
    </row>
    <row r="287" spans="2:3" ht="13.5" customHeight="1" x14ac:dyDescent="0.3">
      <c r="B287" s="14"/>
      <c r="C287" s="66"/>
    </row>
    <row r="288" spans="2:3" ht="13.5" customHeight="1" x14ac:dyDescent="0.3">
      <c r="B288" s="14"/>
      <c r="C288" s="66"/>
    </row>
    <row r="289" spans="2:3" ht="13.5" customHeight="1" x14ac:dyDescent="0.3">
      <c r="B289" s="14"/>
      <c r="C289" s="66"/>
    </row>
    <row r="290" spans="2:3" ht="13.5" customHeight="1" x14ac:dyDescent="0.3">
      <c r="B290" s="14"/>
      <c r="C290" s="66"/>
    </row>
    <row r="291" spans="2:3" ht="13.5" customHeight="1" x14ac:dyDescent="0.3">
      <c r="B291" s="14"/>
      <c r="C291" s="66"/>
    </row>
    <row r="292" spans="2:3" ht="13.5" customHeight="1" x14ac:dyDescent="0.3">
      <c r="B292" s="14"/>
      <c r="C292" s="66"/>
    </row>
    <row r="293" spans="2:3" ht="13.5" customHeight="1" x14ac:dyDescent="0.3">
      <c r="B293" s="14"/>
      <c r="C293" s="66"/>
    </row>
    <row r="294" spans="2:3" ht="13.5" customHeight="1" x14ac:dyDescent="0.3">
      <c r="B294" s="14"/>
      <c r="C294" s="66"/>
    </row>
    <row r="295" spans="2:3" ht="13.5" customHeight="1" x14ac:dyDescent="0.3">
      <c r="B295" s="14"/>
      <c r="C295" s="66"/>
    </row>
    <row r="296" spans="2:3" ht="13.5" customHeight="1" x14ac:dyDescent="0.3">
      <c r="B296" s="14"/>
      <c r="C296" s="66"/>
    </row>
    <row r="297" spans="2:3" ht="13.5" customHeight="1" x14ac:dyDescent="0.3">
      <c r="B297" s="14"/>
      <c r="C297" s="66"/>
    </row>
    <row r="298" spans="2:3" ht="13.5" customHeight="1" x14ac:dyDescent="0.3">
      <c r="B298" s="14"/>
      <c r="C298" s="66"/>
    </row>
    <row r="299" spans="2:3" ht="13.5" customHeight="1" x14ac:dyDescent="0.3">
      <c r="B299" s="14"/>
      <c r="C299" s="66"/>
    </row>
    <row r="300" spans="2:3" ht="13.5" customHeight="1" x14ac:dyDescent="0.3">
      <c r="B300" s="14"/>
      <c r="C300" s="66"/>
    </row>
    <row r="301" spans="2:3" ht="15.75" customHeight="1" x14ac:dyDescent="0.3"/>
    <row r="302" spans="2:3" ht="15.75" customHeight="1" x14ac:dyDescent="0.3"/>
    <row r="303" spans="2:3" ht="15.75" customHeight="1" x14ac:dyDescent="0.3"/>
    <row r="304" spans="2:3"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sheetData>
  <mergeCells count="9">
    <mergeCell ref="L3:U6"/>
    <mergeCell ref="E4:E6"/>
    <mergeCell ref="I4:I6"/>
    <mergeCell ref="J4:J6"/>
    <mergeCell ref="B5:C5"/>
    <mergeCell ref="G4:G6"/>
    <mergeCell ref="F5:F6"/>
    <mergeCell ref="H2:H6"/>
    <mergeCell ref="K3:K6"/>
  </mergeCells>
  <phoneticPr fontId="36" type="noConversion"/>
  <conditionalFormatting sqref="L16:AF30 L32:AF63">
    <cfRule type="cellIs" dxfId="3" priority="2" operator="equal">
      <formula>0</formula>
    </cfRule>
  </conditionalFormatting>
  <conditionalFormatting sqref="L65:AF81">
    <cfRule type="cellIs" dxfId="2" priority="4" operator="equal">
      <formula>0</formula>
    </cfRule>
  </conditionalFormatting>
  <conditionalFormatting sqref="L83:AF84">
    <cfRule type="cellIs" dxfId="1" priority="5" operator="equal">
      <formula>0</formula>
    </cfRule>
  </conditionalFormatting>
  <conditionalFormatting sqref="M8:AF14 L9:L14">
    <cfRule type="cellIs" dxfId="0" priority="1" operator="equal">
      <formula>0</formula>
    </cfRule>
  </conditionalFormatting>
  <pageMargins left="0.7" right="0.7" top="0.75" bottom="0.75" header="0" footer="0"/>
  <pageSetup paperSize="8" orientation="landscape"/>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D965"/>
  </sheetPr>
  <dimension ref="A1:Z1000"/>
  <sheetViews>
    <sheetView showGridLines="0" workbookViewId="0"/>
  </sheetViews>
  <sheetFormatPr defaultColWidth="14.44140625" defaultRowHeight="15" customHeight="1" x14ac:dyDescent="0.3"/>
  <cols>
    <col min="1" max="1" width="5.44140625" customWidth="1"/>
    <col min="2" max="2" width="9.109375" customWidth="1"/>
    <col min="3" max="3" width="33.44140625" customWidth="1"/>
    <col min="4" max="4" width="15" customWidth="1"/>
    <col min="5" max="5" width="13.33203125" customWidth="1"/>
    <col min="6" max="6" width="14" hidden="1" customWidth="1"/>
    <col min="7" max="7" width="19.88671875" hidden="1" customWidth="1"/>
    <col min="8" max="9" width="17.6640625" customWidth="1"/>
    <col min="10" max="10" width="36.6640625" customWidth="1"/>
    <col min="11" max="11" width="12.109375" customWidth="1"/>
    <col min="12" max="12" width="46.6640625" hidden="1" customWidth="1"/>
    <col min="13" max="26" width="8.6640625" customWidth="1"/>
  </cols>
  <sheetData>
    <row r="1" spans="1:26" ht="13.5" customHeight="1" x14ac:dyDescent="0.3"/>
    <row r="2" spans="1:26" ht="13.5" customHeight="1" x14ac:dyDescent="0.3">
      <c r="I2" s="1"/>
    </row>
    <row r="3" spans="1:26" ht="13.5" customHeight="1" x14ac:dyDescent="0.3"/>
    <row r="4" spans="1:26" ht="13.5" customHeight="1" x14ac:dyDescent="0.3"/>
    <row r="5" spans="1:26" ht="13.5" customHeight="1" x14ac:dyDescent="0.35">
      <c r="B5" s="2" t="s">
        <v>330</v>
      </c>
      <c r="D5" s="131"/>
      <c r="E5" s="131"/>
      <c r="F5" s="131"/>
      <c r="G5" s="131"/>
      <c r="H5" s="220"/>
      <c r="I5" s="222"/>
      <c r="J5" s="131"/>
    </row>
    <row r="6" spans="1:26" ht="13.5" customHeight="1" x14ac:dyDescent="0.35">
      <c r="B6" s="2"/>
      <c r="C6" s="1"/>
      <c r="D6" s="131"/>
      <c r="E6" s="132"/>
      <c r="F6" s="131"/>
      <c r="G6" s="131"/>
      <c r="H6" s="221"/>
      <c r="I6" s="221"/>
      <c r="J6" s="131"/>
      <c r="K6" s="66"/>
    </row>
    <row r="7" spans="1:26" ht="13.5" customHeight="1" x14ac:dyDescent="0.3">
      <c r="B7" s="133" t="s">
        <v>20</v>
      </c>
      <c r="C7" s="133" t="s">
        <v>107</v>
      </c>
      <c r="D7" s="133" t="s">
        <v>331</v>
      </c>
      <c r="E7" s="133" t="s">
        <v>332</v>
      </c>
      <c r="F7" s="133" t="s">
        <v>333</v>
      </c>
      <c r="G7" s="133" t="s">
        <v>334</v>
      </c>
      <c r="H7" s="133" t="s">
        <v>32</v>
      </c>
      <c r="I7" s="133" t="s">
        <v>5</v>
      </c>
      <c r="J7" s="133" t="s">
        <v>335</v>
      </c>
      <c r="K7" s="133" t="s">
        <v>336</v>
      </c>
      <c r="L7" s="134"/>
    </row>
    <row r="8" spans="1:26" ht="30" customHeight="1" x14ac:dyDescent="0.3">
      <c r="A8" s="135"/>
      <c r="B8" s="136">
        <v>1</v>
      </c>
      <c r="C8" s="137" t="s">
        <v>337</v>
      </c>
      <c r="D8" s="136" t="s">
        <v>143</v>
      </c>
      <c r="E8" s="138">
        <v>45915</v>
      </c>
      <c r="F8" s="136"/>
      <c r="G8" s="136"/>
      <c r="H8" s="136" t="s">
        <v>154</v>
      </c>
      <c r="I8" s="136" t="s">
        <v>338</v>
      </c>
      <c r="J8" s="137" t="s">
        <v>339</v>
      </c>
      <c r="K8" s="138">
        <v>45916</v>
      </c>
      <c r="L8" s="139"/>
      <c r="M8" s="135"/>
      <c r="N8" s="135"/>
      <c r="O8" s="135"/>
      <c r="P8" s="135"/>
      <c r="Q8" s="135"/>
      <c r="R8" s="135"/>
      <c r="S8" s="135"/>
      <c r="T8" s="135"/>
      <c r="U8" s="135"/>
      <c r="V8" s="135"/>
      <c r="W8" s="135"/>
      <c r="X8" s="135"/>
      <c r="Y8" s="135"/>
      <c r="Z8" s="135"/>
    </row>
    <row r="9" spans="1:26" ht="13.5" customHeight="1" x14ac:dyDescent="0.3">
      <c r="B9" s="136">
        <v>2</v>
      </c>
      <c r="C9" s="137" t="s">
        <v>340</v>
      </c>
      <c r="D9" s="136" t="s">
        <v>136</v>
      </c>
      <c r="E9" s="138">
        <v>45943</v>
      </c>
      <c r="F9" s="136"/>
      <c r="G9" s="136"/>
      <c r="H9" s="136" t="s">
        <v>154</v>
      </c>
      <c r="I9" s="136" t="s">
        <v>338</v>
      </c>
      <c r="J9" s="137" t="s">
        <v>341</v>
      </c>
      <c r="K9" s="138">
        <v>45944</v>
      </c>
      <c r="L9" s="134"/>
    </row>
    <row r="10" spans="1:26" ht="13.5" customHeight="1" x14ac:dyDescent="0.3">
      <c r="A10" s="1"/>
      <c r="B10" s="140">
        <v>3</v>
      </c>
      <c r="C10" s="141" t="s">
        <v>342</v>
      </c>
      <c r="D10" s="140" t="s">
        <v>151</v>
      </c>
      <c r="E10" s="142">
        <v>45980</v>
      </c>
      <c r="F10" s="140"/>
      <c r="G10" s="140"/>
      <c r="H10" s="140" t="s">
        <v>136</v>
      </c>
      <c r="I10" s="140" t="s">
        <v>338</v>
      </c>
      <c r="J10" s="141" t="s">
        <v>343</v>
      </c>
      <c r="K10" s="142">
        <v>45981</v>
      </c>
      <c r="L10" s="143"/>
      <c r="M10" s="1"/>
      <c r="N10" s="1"/>
      <c r="O10" s="1"/>
      <c r="P10" s="1"/>
      <c r="Q10" s="1"/>
      <c r="R10" s="1"/>
      <c r="S10" s="1"/>
      <c r="T10" s="1"/>
      <c r="U10" s="1"/>
      <c r="V10" s="1"/>
      <c r="W10" s="1"/>
      <c r="X10" s="1"/>
      <c r="Y10" s="1"/>
      <c r="Z10" s="1"/>
    </row>
    <row r="11" spans="1:26" ht="34.5" customHeight="1" x14ac:dyDescent="0.3">
      <c r="A11" s="135"/>
      <c r="B11" s="136">
        <v>4</v>
      </c>
      <c r="C11" s="137" t="s">
        <v>344</v>
      </c>
      <c r="D11" s="136" t="s">
        <v>154</v>
      </c>
      <c r="E11" s="138">
        <v>45917</v>
      </c>
      <c r="F11" s="136"/>
      <c r="G11" s="136"/>
      <c r="H11" s="136" t="s">
        <v>143</v>
      </c>
      <c r="I11" s="136" t="s">
        <v>338</v>
      </c>
      <c r="J11" s="137" t="s">
        <v>345</v>
      </c>
      <c r="K11" s="138">
        <v>45918</v>
      </c>
      <c r="L11" s="135"/>
      <c r="M11" s="135"/>
      <c r="N11" s="135"/>
      <c r="O11" s="135"/>
      <c r="P11" s="135"/>
      <c r="Q11" s="135"/>
      <c r="R11" s="135"/>
      <c r="S11" s="135"/>
      <c r="T11" s="135"/>
      <c r="U11" s="135"/>
      <c r="V11" s="135"/>
      <c r="W11" s="135"/>
      <c r="X11" s="135"/>
      <c r="Y11" s="135"/>
      <c r="Z11" s="135"/>
    </row>
    <row r="12" spans="1:26" ht="13.5" customHeight="1" x14ac:dyDescent="0.3">
      <c r="A12" s="1"/>
      <c r="B12" s="1"/>
      <c r="C12" s="1"/>
      <c r="D12" s="1"/>
      <c r="E12" s="1"/>
      <c r="F12" s="1"/>
      <c r="G12" s="1"/>
      <c r="H12" s="1"/>
      <c r="I12" s="1"/>
      <c r="J12" s="1"/>
      <c r="K12" s="1"/>
      <c r="L12" s="144"/>
      <c r="M12" s="1"/>
      <c r="N12" s="1"/>
      <c r="O12" s="1"/>
      <c r="P12" s="1"/>
      <c r="Q12" s="1"/>
      <c r="R12" s="1"/>
      <c r="S12" s="1"/>
      <c r="T12" s="1"/>
      <c r="U12" s="1"/>
      <c r="V12" s="1"/>
      <c r="W12" s="1"/>
      <c r="X12" s="1"/>
      <c r="Y12" s="1"/>
      <c r="Z12" s="1"/>
    </row>
    <row r="13" spans="1:26" ht="13.5" customHeight="1" x14ac:dyDescent="0.3">
      <c r="B13" s="1"/>
      <c r="C13" s="1"/>
      <c r="D13" s="1"/>
      <c r="E13" s="1"/>
      <c r="F13" s="1"/>
      <c r="G13" s="1"/>
      <c r="H13" s="1"/>
      <c r="I13" s="1"/>
      <c r="J13" s="1"/>
      <c r="K13" s="1"/>
      <c r="L13" s="134"/>
    </row>
    <row r="14" spans="1:26" ht="13.5" customHeight="1" x14ac:dyDescent="0.3">
      <c r="B14" s="1"/>
      <c r="C14" s="1"/>
      <c r="D14" s="1"/>
      <c r="E14" s="1"/>
      <c r="F14" s="1"/>
      <c r="G14" s="1"/>
      <c r="H14" s="1"/>
      <c r="I14" s="1"/>
      <c r="J14" s="1"/>
      <c r="K14" s="1"/>
      <c r="L14" s="134"/>
    </row>
    <row r="15" spans="1:26" ht="13.5" customHeight="1" x14ac:dyDescent="0.3">
      <c r="B15" s="1"/>
      <c r="C15" s="1"/>
      <c r="D15" s="1"/>
      <c r="E15" s="1"/>
      <c r="F15" s="1"/>
      <c r="G15" s="1"/>
      <c r="H15" s="1"/>
      <c r="I15" s="1"/>
      <c r="J15" s="1"/>
      <c r="K15" s="1"/>
      <c r="L15" s="134"/>
    </row>
    <row r="16" spans="1:26" ht="13.5" customHeight="1" x14ac:dyDescent="0.3">
      <c r="B16" s="1"/>
      <c r="C16" s="1"/>
      <c r="D16" s="1"/>
      <c r="E16" s="1"/>
      <c r="F16" s="1"/>
      <c r="G16" s="1"/>
      <c r="H16" s="1"/>
      <c r="I16" s="1"/>
      <c r="J16" s="1"/>
      <c r="K16" s="1"/>
      <c r="L16" s="134"/>
    </row>
    <row r="17" spans="2:12" ht="13.5" customHeight="1" x14ac:dyDescent="0.3">
      <c r="B17" s="1"/>
      <c r="C17" s="1"/>
      <c r="D17" s="1"/>
      <c r="E17" s="1"/>
      <c r="F17" s="1"/>
      <c r="G17" s="1"/>
      <c r="H17" s="1"/>
      <c r="I17" s="1"/>
      <c r="J17" s="1"/>
      <c r="K17" s="1"/>
      <c r="L17" s="134"/>
    </row>
    <row r="18" spans="2:12" ht="13.5" customHeight="1" x14ac:dyDescent="0.3">
      <c r="B18" s="1"/>
      <c r="C18" s="1"/>
      <c r="D18" s="1"/>
      <c r="E18" s="1"/>
      <c r="F18" s="1"/>
      <c r="G18" s="1"/>
      <c r="H18" s="1"/>
      <c r="I18" s="1"/>
      <c r="J18" s="1"/>
      <c r="K18" s="1"/>
      <c r="L18" s="134"/>
    </row>
    <row r="19" spans="2:12" ht="13.5" customHeight="1" x14ac:dyDescent="0.3">
      <c r="B19" s="1"/>
      <c r="C19" s="1"/>
      <c r="D19" s="1"/>
      <c r="E19" s="1"/>
      <c r="F19" s="1"/>
      <c r="G19" s="1"/>
      <c r="H19" s="1"/>
      <c r="I19" s="1"/>
      <c r="J19" s="1"/>
      <c r="K19" s="1"/>
      <c r="L19" s="134"/>
    </row>
    <row r="20" spans="2:12" ht="13.5" customHeight="1" x14ac:dyDescent="0.3">
      <c r="B20" s="1"/>
      <c r="C20" s="1"/>
      <c r="D20" s="1"/>
      <c r="E20" s="1"/>
      <c r="F20" s="1"/>
      <c r="G20" s="1"/>
      <c r="H20" s="1"/>
      <c r="I20" s="1"/>
      <c r="J20" s="1"/>
      <c r="K20" s="1"/>
      <c r="L20" s="134"/>
    </row>
    <row r="21" spans="2:12" ht="13.5" customHeight="1" x14ac:dyDescent="0.3">
      <c r="B21" s="1"/>
      <c r="C21" s="1"/>
      <c r="D21" s="1"/>
      <c r="E21" s="1"/>
      <c r="F21" s="1"/>
      <c r="G21" s="1"/>
      <c r="H21" s="1"/>
      <c r="I21" s="1"/>
      <c r="J21" s="1"/>
      <c r="K21" s="1"/>
      <c r="L21" s="134"/>
    </row>
    <row r="22" spans="2:12" ht="13.5" customHeight="1" x14ac:dyDescent="0.3">
      <c r="B22" s="1"/>
      <c r="C22" s="1"/>
      <c r="D22" s="1"/>
      <c r="E22" s="1"/>
      <c r="F22" s="1"/>
      <c r="G22" s="1"/>
      <c r="H22" s="1"/>
      <c r="I22" s="1"/>
      <c r="J22" s="1"/>
      <c r="K22" s="1"/>
      <c r="L22" s="134"/>
    </row>
    <row r="23" spans="2:12" ht="13.5" customHeight="1" x14ac:dyDescent="0.3">
      <c r="B23" s="1"/>
      <c r="C23" s="1"/>
      <c r="D23" s="1"/>
      <c r="E23" s="1"/>
      <c r="F23" s="1"/>
      <c r="G23" s="1"/>
      <c r="H23" s="1"/>
      <c r="I23" s="1"/>
      <c r="J23" s="1"/>
      <c r="K23" s="1"/>
      <c r="L23" s="134"/>
    </row>
    <row r="24" spans="2:12" ht="13.5" customHeight="1" x14ac:dyDescent="0.3">
      <c r="B24" s="1"/>
      <c r="C24" s="1"/>
      <c r="D24" s="1"/>
      <c r="E24" s="1"/>
      <c r="F24" s="1"/>
      <c r="G24" s="1"/>
      <c r="H24" s="1"/>
      <c r="I24" s="1"/>
      <c r="J24" s="1"/>
      <c r="K24" s="1"/>
      <c r="L24" s="134"/>
    </row>
    <row r="25" spans="2:12" ht="13.5" customHeight="1" x14ac:dyDescent="0.3">
      <c r="B25" s="1"/>
      <c r="C25" s="1"/>
      <c r="D25" s="1"/>
      <c r="E25" s="1"/>
      <c r="F25" s="1"/>
      <c r="G25" s="1"/>
      <c r="H25" s="1"/>
      <c r="I25" s="1"/>
      <c r="J25" s="1"/>
      <c r="K25" s="1"/>
      <c r="L25" s="134"/>
    </row>
    <row r="26" spans="2:12" ht="13.5" customHeight="1" x14ac:dyDescent="0.3">
      <c r="B26" s="1"/>
      <c r="C26" s="1"/>
      <c r="D26" s="1"/>
      <c r="E26" s="1"/>
      <c r="F26" s="1"/>
      <c r="G26" s="1"/>
      <c r="H26" s="1"/>
      <c r="I26" s="1"/>
      <c r="J26" s="1"/>
      <c r="K26" s="1"/>
      <c r="L26" s="134"/>
    </row>
    <row r="27" spans="2:12" ht="13.5" customHeight="1" x14ac:dyDescent="0.3">
      <c r="B27" s="1"/>
      <c r="C27" s="1"/>
      <c r="D27" s="1"/>
      <c r="E27" s="1"/>
      <c r="F27" s="1"/>
      <c r="G27" s="1"/>
      <c r="H27" s="1"/>
      <c r="I27" s="1"/>
      <c r="J27" s="1"/>
      <c r="K27" s="1"/>
      <c r="L27" s="134"/>
    </row>
    <row r="28" spans="2:12" ht="13.5" customHeight="1" x14ac:dyDescent="0.3">
      <c r="B28" s="1"/>
      <c r="C28" s="1"/>
      <c r="D28" s="1"/>
      <c r="E28" s="1"/>
      <c r="F28" s="1"/>
      <c r="G28" s="1"/>
      <c r="H28" s="1"/>
      <c r="I28" s="1"/>
      <c r="J28" s="1"/>
      <c r="K28" s="1"/>
      <c r="L28" s="134"/>
    </row>
    <row r="29" spans="2:12" ht="13.5" customHeight="1" x14ac:dyDescent="0.3">
      <c r="B29" s="1"/>
      <c r="C29" s="1"/>
      <c r="D29" s="1"/>
      <c r="E29" s="1"/>
      <c r="F29" s="1"/>
      <c r="G29" s="1"/>
      <c r="H29" s="1"/>
      <c r="I29" s="1"/>
      <c r="J29" s="1"/>
      <c r="K29" s="1"/>
      <c r="L29" s="134"/>
    </row>
    <row r="30" spans="2:12" ht="13.5" customHeight="1" x14ac:dyDescent="0.3">
      <c r="B30" s="1"/>
      <c r="C30" s="1"/>
      <c r="D30" s="1"/>
      <c r="E30" s="1"/>
      <c r="F30" s="1"/>
      <c r="G30" s="1"/>
      <c r="H30" s="1"/>
      <c r="I30" s="1"/>
      <c r="J30" s="1"/>
      <c r="K30" s="1"/>
      <c r="L30" s="134"/>
    </row>
    <row r="31" spans="2:12" ht="13.5" customHeight="1" x14ac:dyDescent="0.3">
      <c r="B31" s="1"/>
      <c r="C31" s="1"/>
      <c r="D31" s="1"/>
      <c r="E31" s="1"/>
      <c r="F31" s="1"/>
      <c r="G31" s="1"/>
      <c r="H31" s="1"/>
      <c r="I31" s="1"/>
      <c r="J31" s="1"/>
      <c r="K31" s="1"/>
      <c r="L31" s="134"/>
    </row>
    <row r="32" spans="2:12" ht="13.5" customHeight="1" x14ac:dyDescent="0.3">
      <c r="B32" s="1"/>
      <c r="C32" s="1"/>
      <c r="D32" s="1"/>
      <c r="E32" s="1"/>
      <c r="F32" s="1"/>
      <c r="G32" s="1"/>
      <c r="H32" s="1"/>
      <c r="I32" s="1"/>
      <c r="J32" s="1"/>
      <c r="K32" s="1"/>
      <c r="L32" s="134"/>
    </row>
    <row r="33" spans="2:12" ht="13.5" customHeight="1" x14ac:dyDescent="0.3">
      <c r="B33" s="1"/>
      <c r="C33" s="1"/>
      <c r="D33" s="1"/>
      <c r="E33" s="1"/>
      <c r="F33" s="1"/>
      <c r="G33" s="1"/>
      <c r="H33" s="1"/>
      <c r="I33" s="1"/>
      <c r="J33" s="1"/>
      <c r="K33" s="1"/>
      <c r="L33" s="134"/>
    </row>
    <row r="34" spans="2:12" ht="13.5" customHeight="1" x14ac:dyDescent="0.3">
      <c r="B34" s="1"/>
      <c r="C34" s="1"/>
      <c r="D34" s="1"/>
      <c r="E34" s="1"/>
      <c r="F34" s="1"/>
      <c r="G34" s="1"/>
      <c r="H34" s="1"/>
      <c r="I34" s="1"/>
      <c r="J34" s="1"/>
      <c r="K34" s="1"/>
      <c r="L34" s="134"/>
    </row>
    <row r="35" spans="2:12" ht="13.5" customHeight="1" x14ac:dyDescent="0.3">
      <c r="B35" s="1"/>
      <c r="C35" s="1"/>
      <c r="D35" s="1"/>
      <c r="E35" s="1"/>
      <c r="F35" s="1"/>
      <c r="G35" s="1"/>
      <c r="H35" s="1"/>
      <c r="I35" s="1"/>
      <c r="J35" s="1"/>
      <c r="K35" s="1"/>
      <c r="L35" s="134"/>
    </row>
    <row r="36" spans="2:12" ht="13.5" customHeight="1" x14ac:dyDescent="0.3">
      <c r="B36" s="1"/>
      <c r="C36" s="1"/>
      <c r="D36" s="1"/>
      <c r="E36" s="1"/>
      <c r="F36" s="1"/>
      <c r="G36" s="1"/>
      <c r="H36" s="1"/>
      <c r="I36" s="1"/>
      <c r="J36" s="1"/>
      <c r="K36" s="1"/>
      <c r="L36" s="134"/>
    </row>
    <row r="37" spans="2:12" ht="13.5" customHeight="1" x14ac:dyDescent="0.3">
      <c r="B37" s="1"/>
      <c r="C37" s="1"/>
      <c r="D37" s="1"/>
      <c r="E37" s="1"/>
      <c r="F37" s="1"/>
      <c r="G37" s="1"/>
      <c r="H37" s="1"/>
      <c r="I37" s="1"/>
      <c r="J37" s="1"/>
      <c r="K37" s="1"/>
      <c r="L37" s="134"/>
    </row>
    <row r="38" spans="2:12" ht="13.5" customHeight="1" x14ac:dyDescent="0.3">
      <c r="B38" s="1"/>
      <c r="C38" s="1"/>
      <c r="D38" s="1"/>
      <c r="E38" s="1"/>
      <c r="F38" s="1"/>
      <c r="G38" s="1"/>
      <c r="H38" s="1"/>
      <c r="I38" s="1"/>
      <c r="J38" s="1"/>
      <c r="K38" s="1"/>
      <c r="L38" s="134"/>
    </row>
    <row r="39" spans="2:12" ht="13.5" customHeight="1" x14ac:dyDescent="0.3">
      <c r="B39" s="1"/>
      <c r="C39" s="1"/>
      <c r="D39" s="1"/>
      <c r="E39" s="1"/>
      <c r="F39" s="1"/>
      <c r="G39" s="1"/>
      <c r="H39" s="1"/>
      <c r="I39" s="1"/>
      <c r="J39" s="1"/>
      <c r="K39" s="1"/>
      <c r="L39" s="134"/>
    </row>
    <row r="40" spans="2:12" ht="13.5" customHeight="1" x14ac:dyDescent="0.3">
      <c r="B40" s="1"/>
      <c r="C40" s="1"/>
      <c r="D40" s="1"/>
      <c r="E40" s="1"/>
      <c r="F40" s="1"/>
      <c r="G40" s="1"/>
      <c r="H40" s="1"/>
      <c r="I40" s="1"/>
      <c r="J40" s="1"/>
      <c r="K40" s="1"/>
      <c r="L40" s="134"/>
    </row>
    <row r="41" spans="2:12" ht="13.5" customHeight="1" x14ac:dyDescent="0.3">
      <c r="B41" s="1"/>
      <c r="C41" s="1"/>
      <c r="D41" s="1"/>
      <c r="E41" s="1"/>
      <c r="F41" s="1"/>
      <c r="G41" s="1"/>
      <c r="H41" s="1"/>
      <c r="I41" s="1"/>
      <c r="J41" s="1"/>
      <c r="K41" s="1"/>
      <c r="L41" s="134"/>
    </row>
    <row r="42" spans="2:12" ht="13.5" customHeight="1" x14ac:dyDescent="0.3">
      <c r="B42" s="1"/>
      <c r="C42" s="1"/>
      <c r="D42" s="1"/>
      <c r="E42" s="1"/>
      <c r="F42" s="1"/>
      <c r="G42" s="1"/>
      <c r="H42" s="1"/>
      <c r="I42" s="1"/>
      <c r="J42" s="1"/>
      <c r="K42" s="1"/>
      <c r="L42" s="134"/>
    </row>
    <row r="43" spans="2:12" ht="13.5" customHeight="1" x14ac:dyDescent="0.3">
      <c r="B43" s="1"/>
      <c r="C43" s="1"/>
      <c r="D43" s="1"/>
      <c r="E43" s="1"/>
      <c r="F43" s="1"/>
      <c r="G43" s="1"/>
      <c r="H43" s="1"/>
      <c r="I43" s="1"/>
      <c r="J43" s="1"/>
      <c r="K43" s="1"/>
      <c r="L43" s="1"/>
    </row>
    <row r="44" spans="2:12" ht="13.5" customHeight="1" x14ac:dyDescent="0.3"/>
    <row r="45" spans="2:12" ht="13.5" customHeight="1" x14ac:dyDescent="0.3"/>
    <row r="46" spans="2:12" ht="13.5" customHeight="1" x14ac:dyDescent="0.3"/>
    <row r="47" spans="2:12" ht="13.5" customHeight="1" x14ac:dyDescent="0.3"/>
    <row r="48" spans="2:12"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2">
    <mergeCell ref="H5:H6"/>
    <mergeCell ref="I5:I6"/>
  </mergeCells>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8C8C8"/>
  </sheetPr>
  <dimension ref="A1:Z1000"/>
  <sheetViews>
    <sheetView showGridLines="0" workbookViewId="0"/>
  </sheetViews>
  <sheetFormatPr defaultColWidth="14.44140625" defaultRowHeight="15" customHeight="1" x14ac:dyDescent="0.3"/>
  <cols>
    <col min="1" max="1" width="8.6640625" customWidth="1"/>
    <col min="2" max="2" width="15.6640625" customWidth="1"/>
    <col min="3" max="3" width="14" customWidth="1"/>
    <col min="4" max="4" width="50" customWidth="1"/>
    <col min="5" max="5" width="54.6640625" customWidth="1"/>
    <col min="6" max="6" width="58" customWidth="1"/>
    <col min="7" max="7" width="45.44140625" customWidth="1"/>
    <col min="8" max="8" width="38.33203125" customWidth="1"/>
    <col min="9" max="9" width="54.44140625" customWidth="1"/>
    <col min="10" max="26" width="8.6640625" customWidth="1"/>
  </cols>
  <sheetData>
    <row r="1" spans="1:26" ht="13.5" customHeight="1" x14ac:dyDescent="0.3">
      <c r="D1" s="1"/>
    </row>
    <row r="2" spans="1:26" ht="13.5" customHeight="1" x14ac:dyDescent="0.3">
      <c r="D2" s="1"/>
    </row>
    <row r="3" spans="1:26" ht="13.5" customHeight="1" x14ac:dyDescent="0.3">
      <c r="D3" s="1"/>
      <c r="F3" s="223"/>
    </row>
    <row r="4" spans="1:26" ht="12.75" customHeight="1" x14ac:dyDescent="0.3">
      <c r="D4" s="1"/>
      <c r="F4" s="202"/>
    </row>
    <row r="5" spans="1:26" ht="13.5" customHeight="1" x14ac:dyDescent="0.45">
      <c r="B5" s="145" t="s">
        <v>346</v>
      </c>
      <c r="D5" s="1"/>
      <c r="F5" s="202"/>
    </row>
    <row r="6" spans="1:26" ht="13.5" customHeight="1" x14ac:dyDescent="0.3">
      <c r="B6" s="224"/>
      <c r="D6" s="1"/>
      <c r="E6" s="213"/>
      <c r="F6" s="202"/>
    </row>
    <row r="7" spans="1:26" ht="13.5" customHeight="1" x14ac:dyDescent="0.3">
      <c r="B7" s="202"/>
      <c r="D7" s="1"/>
      <c r="E7" s="202"/>
      <c r="F7" s="202"/>
    </row>
    <row r="8" spans="1:26" ht="13.5" customHeight="1" x14ac:dyDescent="0.3">
      <c r="B8" s="202"/>
      <c r="C8" s="1"/>
      <c r="D8" s="1"/>
      <c r="E8" s="202"/>
      <c r="F8" s="202"/>
      <c r="G8" s="1"/>
    </row>
    <row r="9" spans="1:26" ht="54.75" customHeight="1" x14ac:dyDescent="0.3">
      <c r="B9" s="146" t="s">
        <v>333</v>
      </c>
      <c r="C9" s="146" t="s">
        <v>32</v>
      </c>
      <c r="D9" s="146" t="s">
        <v>347</v>
      </c>
      <c r="E9" s="146" t="s">
        <v>348</v>
      </c>
      <c r="F9" s="146" t="s">
        <v>349</v>
      </c>
      <c r="G9" s="146" t="s">
        <v>8</v>
      </c>
    </row>
    <row r="10" spans="1:26" ht="37.5" customHeight="1" x14ac:dyDescent="0.3">
      <c r="A10" s="12"/>
      <c r="B10" s="147">
        <v>1</v>
      </c>
      <c r="C10" s="148" t="s">
        <v>350</v>
      </c>
      <c r="D10" s="148" t="s">
        <v>351</v>
      </c>
      <c r="E10" s="149" t="s">
        <v>352</v>
      </c>
      <c r="F10" s="148" t="s">
        <v>353</v>
      </c>
      <c r="G10" s="148" t="s">
        <v>354</v>
      </c>
      <c r="H10" s="12"/>
      <c r="I10" s="12"/>
      <c r="J10" s="12"/>
      <c r="K10" s="12"/>
      <c r="L10" s="12"/>
      <c r="M10" s="12"/>
      <c r="N10" s="12"/>
      <c r="O10" s="12"/>
      <c r="P10" s="12"/>
      <c r="Q10" s="12"/>
      <c r="R10" s="12"/>
      <c r="S10" s="12"/>
      <c r="T10" s="12"/>
      <c r="U10" s="12"/>
      <c r="V10" s="12"/>
      <c r="W10" s="12"/>
      <c r="X10" s="12"/>
      <c r="Y10" s="12"/>
      <c r="Z10" s="12"/>
    </row>
    <row r="11" spans="1:26" ht="43.5" customHeight="1" x14ac:dyDescent="0.3">
      <c r="A11" s="12"/>
      <c r="B11" s="147">
        <v>2</v>
      </c>
      <c r="C11" s="148" t="s">
        <v>355</v>
      </c>
      <c r="D11" s="148" t="s">
        <v>356</v>
      </c>
      <c r="E11" s="148" t="s">
        <v>357</v>
      </c>
      <c r="F11" s="148" t="s">
        <v>358</v>
      </c>
      <c r="G11" s="148" t="s">
        <v>359</v>
      </c>
      <c r="H11" s="12"/>
      <c r="I11" s="12"/>
      <c r="J11" s="12"/>
      <c r="K11" s="12"/>
      <c r="L11" s="12"/>
      <c r="M11" s="12"/>
      <c r="N11" s="12"/>
      <c r="O11" s="12"/>
      <c r="P11" s="12"/>
      <c r="Q11" s="12"/>
      <c r="R11" s="12"/>
      <c r="S11" s="12"/>
      <c r="T11" s="12"/>
      <c r="U11" s="12"/>
      <c r="V11" s="12"/>
      <c r="W11" s="12"/>
      <c r="X11" s="12"/>
      <c r="Y11" s="12"/>
      <c r="Z11" s="12"/>
    </row>
    <row r="12" spans="1:26" ht="43.5" customHeight="1" x14ac:dyDescent="0.3">
      <c r="A12" s="12"/>
      <c r="B12" s="147">
        <v>3</v>
      </c>
      <c r="C12" s="148" t="s">
        <v>360</v>
      </c>
      <c r="D12" s="148" t="s">
        <v>361</v>
      </c>
      <c r="E12" s="148" t="s">
        <v>362</v>
      </c>
      <c r="F12" s="148" t="s">
        <v>363</v>
      </c>
      <c r="G12" s="148" t="s">
        <v>364</v>
      </c>
      <c r="H12" s="12"/>
      <c r="I12" s="12"/>
      <c r="J12" s="12"/>
      <c r="K12" s="12"/>
      <c r="L12" s="12"/>
      <c r="M12" s="12"/>
      <c r="N12" s="12"/>
      <c r="O12" s="12"/>
      <c r="P12" s="12"/>
      <c r="Q12" s="12"/>
      <c r="R12" s="12"/>
      <c r="S12" s="12"/>
      <c r="T12" s="12"/>
      <c r="U12" s="12"/>
      <c r="V12" s="12"/>
      <c r="W12" s="12"/>
      <c r="X12" s="12"/>
      <c r="Y12" s="12"/>
      <c r="Z12" s="12"/>
    </row>
    <row r="13" spans="1:26" ht="13.5" customHeight="1" x14ac:dyDescent="0.3"/>
    <row r="14" spans="1:26" ht="13.5" customHeight="1" x14ac:dyDescent="0.3"/>
    <row r="15" spans="1:26" ht="13.5" customHeight="1" x14ac:dyDescent="0.3"/>
    <row r="16" spans="1:26"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spans="4:4" ht="13.5" customHeight="1" x14ac:dyDescent="0.3"/>
    <row r="34" spans="4:4" ht="13.5" customHeight="1" x14ac:dyDescent="0.3"/>
    <row r="35" spans="4:4" ht="13.5" customHeight="1" x14ac:dyDescent="0.3"/>
    <row r="36" spans="4:4" ht="13.5" customHeight="1" x14ac:dyDescent="0.3"/>
    <row r="37" spans="4:4" ht="13.5" customHeight="1" x14ac:dyDescent="0.3"/>
    <row r="38" spans="4:4" ht="13.5" customHeight="1" x14ac:dyDescent="0.3"/>
    <row r="39" spans="4:4" ht="13.5" customHeight="1" x14ac:dyDescent="0.3"/>
    <row r="40" spans="4:4" ht="13.5" customHeight="1" x14ac:dyDescent="0.3">
      <c r="D40" s="1"/>
    </row>
    <row r="41" spans="4:4" ht="13.5" customHeight="1" x14ac:dyDescent="0.3">
      <c r="D41" s="1"/>
    </row>
    <row r="42" spans="4:4" ht="13.5" customHeight="1" x14ac:dyDescent="0.3">
      <c r="D42" s="1"/>
    </row>
    <row r="43" spans="4:4" ht="13.5" customHeight="1" x14ac:dyDescent="0.3">
      <c r="D43" s="1"/>
    </row>
    <row r="44" spans="4:4" ht="13.5" customHeight="1" x14ac:dyDescent="0.3">
      <c r="D44" s="1"/>
    </row>
    <row r="45" spans="4:4" ht="13.5" customHeight="1" x14ac:dyDescent="0.3">
      <c r="D45" s="1"/>
    </row>
    <row r="46" spans="4:4" ht="13.5" customHeight="1" x14ac:dyDescent="0.3">
      <c r="D46" s="1"/>
    </row>
    <row r="47" spans="4:4" ht="13.5" customHeight="1" x14ac:dyDescent="0.3">
      <c r="D47" s="1"/>
    </row>
    <row r="48" spans="4:4" ht="13.5" customHeight="1" x14ac:dyDescent="0.3">
      <c r="D48" s="1"/>
    </row>
    <row r="49" spans="4:4" ht="13.5" customHeight="1" x14ac:dyDescent="0.3">
      <c r="D49" s="1"/>
    </row>
    <row r="50" spans="4:4" ht="13.5" customHeight="1" x14ac:dyDescent="0.3">
      <c r="D50" s="1"/>
    </row>
    <row r="51" spans="4:4" ht="13.5" customHeight="1" x14ac:dyDescent="0.3">
      <c r="D51" s="1"/>
    </row>
    <row r="52" spans="4:4" ht="13.5" customHeight="1" x14ac:dyDescent="0.3">
      <c r="D52" s="1"/>
    </row>
    <row r="53" spans="4:4" ht="13.5" customHeight="1" x14ac:dyDescent="0.3">
      <c r="D53" s="1"/>
    </row>
    <row r="54" spans="4:4" ht="13.5" customHeight="1" x14ac:dyDescent="0.3">
      <c r="D54" s="1"/>
    </row>
    <row r="55" spans="4:4" ht="13.5" customHeight="1" x14ac:dyDescent="0.3">
      <c r="D55" s="1"/>
    </row>
    <row r="56" spans="4:4" ht="13.5" customHeight="1" x14ac:dyDescent="0.3">
      <c r="D56" s="1"/>
    </row>
    <row r="57" spans="4:4" ht="13.5" customHeight="1" x14ac:dyDescent="0.3">
      <c r="D57" s="1"/>
    </row>
    <row r="58" spans="4:4" ht="13.5" customHeight="1" x14ac:dyDescent="0.3">
      <c r="D58" s="1"/>
    </row>
    <row r="59" spans="4:4" ht="13.5" customHeight="1" x14ac:dyDescent="0.3">
      <c r="D59" s="1"/>
    </row>
    <row r="60" spans="4:4" ht="13.5" customHeight="1" x14ac:dyDescent="0.3">
      <c r="D60" s="1"/>
    </row>
    <row r="61" spans="4:4" ht="13.5" customHeight="1" x14ac:dyDescent="0.3">
      <c r="D61" s="1"/>
    </row>
    <row r="62" spans="4:4" ht="13.5" customHeight="1" x14ac:dyDescent="0.3">
      <c r="D62" s="1"/>
    </row>
    <row r="63" spans="4:4" ht="13.5" customHeight="1" x14ac:dyDescent="0.3">
      <c r="D63" s="1"/>
    </row>
    <row r="64" spans="4:4" ht="13.5" customHeight="1" x14ac:dyDescent="0.3">
      <c r="D64" s="1"/>
    </row>
    <row r="65" spans="4:4" ht="13.5" customHeight="1" x14ac:dyDescent="0.3">
      <c r="D65" s="1"/>
    </row>
    <row r="66" spans="4:4" ht="13.5" customHeight="1" x14ac:dyDescent="0.3">
      <c r="D66" s="1"/>
    </row>
    <row r="67" spans="4:4" ht="13.5" customHeight="1" x14ac:dyDescent="0.3">
      <c r="D67" s="1"/>
    </row>
    <row r="68" spans="4:4" ht="13.5" customHeight="1" x14ac:dyDescent="0.3">
      <c r="D68" s="1"/>
    </row>
    <row r="69" spans="4:4" ht="13.5" customHeight="1" x14ac:dyDescent="0.3">
      <c r="D69" s="1"/>
    </row>
    <row r="70" spans="4:4" ht="13.5" customHeight="1" x14ac:dyDescent="0.3">
      <c r="D70" s="1"/>
    </row>
    <row r="71" spans="4:4" ht="13.5" customHeight="1" x14ac:dyDescent="0.3">
      <c r="D71" s="1"/>
    </row>
    <row r="72" spans="4:4" ht="13.5" customHeight="1" x14ac:dyDescent="0.3">
      <c r="D72" s="1"/>
    </row>
    <row r="73" spans="4:4" ht="13.5" customHeight="1" x14ac:dyDescent="0.3">
      <c r="D73" s="1"/>
    </row>
    <row r="74" spans="4:4" ht="13.5" customHeight="1" x14ac:dyDescent="0.3">
      <c r="D74" s="1"/>
    </row>
    <row r="75" spans="4:4" ht="13.5" customHeight="1" x14ac:dyDescent="0.3">
      <c r="D75" s="1"/>
    </row>
    <row r="76" spans="4:4" ht="13.5" customHeight="1" x14ac:dyDescent="0.3">
      <c r="D76" s="1"/>
    </row>
    <row r="77" spans="4:4" ht="13.5" customHeight="1" x14ac:dyDescent="0.3">
      <c r="D77" s="1"/>
    </row>
    <row r="78" spans="4:4" ht="13.5" customHeight="1" x14ac:dyDescent="0.3">
      <c r="D78" s="1"/>
    </row>
    <row r="79" spans="4:4" ht="13.5" customHeight="1" x14ac:dyDescent="0.3">
      <c r="D79" s="1"/>
    </row>
    <row r="80" spans="4:4" ht="13.5" customHeight="1" x14ac:dyDescent="0.3">
      <c r="D80" s="1"/>
    </row>
    <row r="81" spans="4:4" ht="13.5" customHeight="1" x14ac:dyDescent="0.3">
      <c r="D81" s="1"/>
    </row>
    <row r="82" spans="4:4" ht="13.5" customHeight="1" x14ac:dyDescent="0.3">
      <c r="D82" s="1"/>
    </row>
    <row r="83" spans="4:4" ht="13.5" customHeight="1" x14ac:dyDescent="0.3">
      <c r="D83" s="1"/>
    </row>
    <row r="84" spans="4:4" ht="13.5" customHeight="1" x14ac:dyDescent="0.3">
      <c r="D84" s="1"/>
    </row>
    <row r="85" spans="4:4" ht="13.5" customHeight="1" x14ac:dyDescent="0.3">
      <c r="D85" s="1"/>
    </row>
    <row r="86" spans="4:4" ht="13.5" customHeight="1" x14ac:dyDescent="0.3">
      <c r="D86" s="1"/>
    </row>
    <row r="87" spans="4:4" ht="13.5" customHeight="1" x14ac:dyDescent="0.3">
      <c r="D87" s="1"/>
    </row>
    <row r="88" spans="4:4" ht="13.5" customHeight="1" x14ac:dyDescent="0.3">
      <c r="D88" s="1"/>
    </row>
    <row r="89" spans="4:4" ht="13.5" customHeight="1" x14ac:dyDescent="0.3">
      <c r="D89" s="1"/>
    </row>
    <row r="90" spans="4:4" ht="13.5" customHeight="1" x14ac:dyDescent="0.3">
      <c r="D90" s="1"/>
    </row>
    <row r="91" spans="4:4" ht="13.5" customHeight="1" x14ac:dyDescent="0.3">
      <c r="D91" s="1"/>
    </row>
    <row r="92" spans="4:4" ht="13.5" customHeight="1" x14ac:dyDescent="0.3">
      <c r="D92" s="1"/>
    </row>
    <row r="93" spans="4:4" ht="13.5" customHeight="1" x14ac:dyDescent="0.3">
      <c r="D93" s="1"/>
    </row>
    <row r="94" spans="4:4" ht="13.5" customHeight="1" x14ac:dyDescent="0.3">
      <c r="D94" s="1"/>
    </row>
    <row r="95" spans="4:4" ht="13.5" customHeight="1" x14ac:dyDescent="0.3">
      <c r="D95" s="1"/>
    </row>
    <row r="96" spans="4:4" ht="13.5" customHeight="1" x14ac:dyDescent="0.3">
      <c r="D96" s="1"/>
    </row>
    <row r="97" spans="4:4" ht="13.5" customHeight="1" x14ac:dyDescent="0.3">
      <c r="D97" s="1"/>
    </row>
    <row r="98" spans="4:4" ht="13.5" customHeight="1" x14ac:dyDescent="0.3">
      <c r="D98" s="1"/>
    </row>
    <row r="99" spans="4:4" ht="13.5" customHeight="1" x14ac:dyDescent="0.3">
      <c r="D99" s="1"/>
    </row>
    <row r="100" spans="4:4" ht="13.5" customHeight="1" x14ac:dyDescent="0.3">
      <c r="D100" s="1"/>
    </row>
    <row r="101" spans="4:4" ht="13.5" customHeight="1" x14ac:dyDescent="0.3">
      <c r="D101" s="1"/>
    </row>
    <row r="102" spans="4:4" ht="13.5" customHeight="1" x14ac:dyDescent="0.3">
      <c r="D102" s="1"/>
    </row>
    <row r="103" spans="4:4" ht="13.5" customHeight="1" x14ac:dyDescent="0.3">
      <c r="D103" s="1"/>
    </row>
    <row r="104" spans="4:4" ht="13.5" customHeight="1" x14ac:dyDescent="0.3">
      <c r="D104" s="1"/>
    </row>
    <row r="105" spans="4:4" ht="13.5" customHeight="1" x14ac:dyDescent="0.3">
      <c r="D105" s="1"/>
    </row>
    <row r="106" spans="4:4" ht="13.5" customHeight="1" x14ac:dyDescent="0.3">
      <c r="D106" s="1"/>
    </row>
    <row r="107" spans="4:4" ht="13.5" customHeight="1" x14ac:dyDescent="0.3">
      <c r="D107" s="1"/>
    </row>
    <row r="108" spans="4:4" ht="13.5" customHeight="1" x14ac:dyDescent="0.3">
      <c r="D108" s="1"/>
    </row>
    <row r="109" spans="4:4" ht="13.5" customHeight="1" x14ac:dyDescent="0.3">
      <c r="D109" s="1"/>
    </row>
    <row r="110" spans="4:4" ht="13.5" customHeight="1" x14ac:dyDescent="0.3">
      <c r="D110" s="1"/>
    </row>
    <row r="111" spans="4:4" ht="13.5" customHeight="1" x14ac:dyDescent="0.3">
      <c r="D111" s="1"/>
    </row>
    <row r="112" spans="4:4" ht="13.5" customHeight="1" x14ac:dyDescent="0.3">
      <c r="D112" s="1"/>
    </row>
    <row r="113" spans="4:4" ht="13.5" customHeight="1" x14ac:dyDescent="0.3">
      <c r="D113" s="1"/>
    </row>
    <row r="114" spans="4:4" ht="13.5" customHeight="1" x14ac:dyDescent="0.3">
      <c r="D114" s="1"/>
    </row>
    <row r="115" spans="4:4" ht="13.5" customHeight="1" x14ac:dyDescent="0.3">
      <c r="D115" s="1"/>
    </row>
    <row r="116" spans="4:4" ht="13.5" customHeight="1" x14ac:dyDescent="0.3">
      <c r="D116" s="1"/>
    </row>
    <row r="117" spans="4:4" ht="13.5" customHeight="1" x14ac:dyDescent="0.3">
      <c r="D117" s="1"/>
    </row>
    <row r="118" spans="4:4" ht="13.5" customHeight="1" x14ac:dyDescent="0.3">
      <c r="D118" s="1"/>
    </row>
    <row r="119" spans="4:4" ht="13.5" customHeight="1" x14ac:dyDescent="0.3">
      <c r="D119" s="1"/>
    </row>
    <row r="120" spans="4:4" ht="13.5" customHeight="1" x14ac:dyDescent="0.3">
      <c r="D120" s="1"/>
    </row>
    <row r="121" spans="4:4" ht="13.5" customHeight="1" x14ac:dyDescent="0.3">
      <c r="D121" s="1"/>
    </row>
    <row r="122" spans="4:4" ht="13.5" customHeight="1" x14ac:dyDescent="0.3">
      <c r="D122" s="1"/>
    </row>
    <row r="123" spans="4:4" ht="13.5" customHeight="1" x14ac:dyDescent="0.3">
      <c r="D123" s="1"/>
    </row>
    <row r="124" spans="4:4" ht="13.5" customHeight="1" x14ac:dyDescent="0.3">
      <c r="D124" s="1"/>
    </row>
    <row r="125" spans="4:4" ht="13.5" customHeight="1" x14ac:dyDescent="0.3">
      <c r="D125" s="1"/>
    </row>
    <row r="126" spans="4:4" ht="13.5" customHeight="1" x14ac:dyDescent="0.3">
      <c r="D126" s="1"/>
    </row>
    <row r="127" spans="4:4" ht="13.5" customHeight="1" x14ac:dyDescent="0.3">
      <c r="D127" s="1"/>
    </row>
    <row r="128" spans="4:4" ht="13.5" customHeight="1" x14ac:dyDescent="0.3">
      <c r="D128" s="1"/>
    </row>
    <row r="129" spans="4:4" ht="13.5" customHeight="1" x14ac:dyDescent="0.3">
      <c r="D129" s="1"/>
    </row>
    <row r="130" spans="4:4" ht="13.5" customHeight="1" x14ac:dyDescent="0.3">
      <c r="D130" s="1"/>
    </row>
    <row r="131" spans="4:4" ht="13.5" customHeight="1" x14ac:dyDescent="0.3">
      <c r="D131" s="1"/>
    </row>
    <row r="132" spans="4:4" ht="13.5" customHeight="1" x14ac:dyDescent="0.3">
      <c r="D132" s="1"/>
    </row>
    <row r="133" spans="4:4" ht="13.5" customHeight="1" x14ac:dyDescent="0.3">
      <c r="D133" s="1"/>
    </row>
    <row r="134" spans="4:4" ht="13.5" customHeight="1" x14ac:dyDescent="0.3">
      <c r="D134" s="1"/>
    </row>
    <row r="135" spans="4:4" ht="13.5" customHeight="1" x14ac:dyDescent="0.3">
      <c r="D135" s="1"/>
    </row>
    <row r="136" spans="4:4" ht="13.5" customHeight="1" x14ac:dyDescent="0.3">
      <c r="D136" s="1"/>
    </row>
    <row r="137" spans="4:4" ht="13.5" customHeight="1" x14ac:dyDescent="0.3">
      <c r="D137" s="1"/>
    </row>
    <row r="138" spans="4:4" ht="13.5" customHeight="1" x14ac:dyDescent="0.3">
      <c r="D138" s="1"/>
    </row>
    <row r="139" spans="4:4" ht="13.5" customHeight="1" x14ac:dyDescent="0.3">
      <c r="D139" s="1"/>
    </row>
    <row r="140" spans="4:4" ht="13.5" customHeight="1" x14ac:dyDescent="0.3">
      <c r="D140" s="1"/>
    </row>
    <row r="141" spans="4:4" ht="13.5" customHeight="1" x14ac:dyDescent="0.3">
      <c r="D141" s="1"/>
    </row>
    <row r="142" spans="4:4" ht="13.5" customHeight="1" x14ac:dyDescent="0.3">
      <c r="D142" s="1"/>
    </row>
    <row r="143" spans="4:4" ht="13.5" customHeight="1" x14ac:dyDescent="0.3">
      <c r="D143" s="1"/>
    </row>
    <row r="144" spans="4:4" ht="13.5" customHeight="1" x14ac:dyDescent="0.3">
      <c r="D144" s="1"/>
    </row>
    <row r="145" spans="4:4" ht="13.5" customHeight="1" x14ac:dyDescent="0.3">
      <c r="D145" s="1"/>
    </row>
    <row r="146" spans="4:4" ht="13.5" customHeight="1" x14ac:dyDescent="0.3">
      <c r="D146" s="1"/>
    </row>
    <row r="147" spans="4:4" ht="13.5" customHeight="1" x14ac:dyDescent="0.3">
      <c r="D147" s="1"/>
    </row>
    <row r="148" spans="4:4" ht="13.5" customHeight="1" x14ac:dyDescent="0.3">
      <c r="D148" s="1"/>
    </row>
    <row r="149" spans="4:4" ht="13.5" customHeight="1" x14ac:dyDescent="0.3">
      <c r="D149" s="1"/>
    </row>
    <row r="150" spans="4:4" ht="13.5" customHeight="1" x14ac:dyDescent="0.3">
      <c r="D150" s="1"/>
    </row>
    <row r="151" spans="4:4" ht="13.5" customHeight="1" x14ac:dyDescent="0.3">
      <c r="D151" s="1"/>
    </row>
    <row r="152" spans="4:4" ht="13.5" customHeight="1" x14ac:dyDescent="0.3">
      <c r="D152" s="1"/>
    </row>
    <row r="153" spans="4:4" ht="13.5" customHeight="1" x14ac:dyDescent="0.3">
      <c r="D153" s="1"/>
    </row>
    <row r="154" spans="4:4" ht="13.5" customHeight="1" x14ac:dyDescent="0.3">
      <c r="D154" s="1"/>
    </row>
    <row r="155" spans="4:4" ht="13.5" customHeight="1" x14ac:dyDescent="0.3">
      <c r="D155" s="1"/>
    </row>
    <row r="156" spans="4:4" ht="13.5" customHeight="1" x14ac:dyDescent="0.3">
      <c r="D156" s="1"/>
    </row>
    <row r="157" spans="4:4" ht="13.5" customHeight="1" x14ac:dyDescent="0.3">
      <c r="D157" s="1"/>
    </row>
    <row r="158" spans="4:4" ht="13.5" customHeight="1" x14ac:dyDescent="0.3">
      <c r="D158" s="1"/>
    </row>
    <row r="159" spans="4:4" ht="13.5" customHeight="1" x14ac:dyDescent="0.3">
      <c r="D159" s="1"/>
    </row>
    <row r="160" spans="4:4" ht="13.5" customHeight="1" x14ac:dyDescent="0.3">
      <c r="D160" s="1"/>
    </row>
    <row r="161" spans="4:4" ht="13.5" customHeight="1" x14ac:dyDescent="0.3">
      <c r="D161" s="1"/>
    </row>
    <row r="162" spans="4:4" ht="13.5" customHeight="1" x14ac:dyDescent="0.3">
      <c r="D162" s="1"/>
    </row>
    <row r="163" spans="4:4" ht="13.5" customHeight="1" x14ac:dyDescent="0.3">
      <c r="D163" s="1"/>
    </row>
    <row r="164" spans="4:4" ht="13.5" customHeight="1" x14ac:dyDescent="0.3">
      <c r="D164" s="1"/>
    </row>
    <row r="165" spans="4:4" ht="13.5" customHeight="1" x14ac:dyDescent="0.3">
      <c r="D165" s="1"/>
    </row>
    <row r="166" spans="4:4" ht="13.5" customHeight="1" x14ac:dyDescent="0.3">
      <c r="D166" s="1"/>
    </row>
    <row r="167" spans="4:4" ht="13.5" customHeight="1" x14ac:dyDescent="0.3">
      <c r="D167" s="1"/>
    </row>
    <row r="168" spans="4:4" ht="13.5" customHeight="1" x14ac:dyDescent="0.3">
      <c r="D168" s="1"/>
    </row>
    <row r="169" spans="4:4" ht="13.5" customHeight="1" x14ac:dyDescent="0.3">
      <c r="D169" s="1"/>
    </row>
    <row r="170" spans="4:4" ht="13.5" customHeight="1" x14ac:dyDescent="0.3">
      <c r="D170" s="1"/>
    </row>
    <row r="171" spans="4:4" ht="13.5" customHeight="1" x14ac:dyDescent="0.3">
      <c r="D171" s="1"/>
    </row>
    <row r="172" spans="4:4" ht="13.5" customHeight="1" x14ac:dyDescent="0.3">
      <c r="D172" s="1"/>
    </row>
    <row r="173" spans="4:4" ht="13.5" customHeight="1" x14ac:dyDescent="0.3">
      <c r="D173" s="1"/>
    </row>
    <row r="174" spans="4:4" ht="13.5" customHeight="1" x14ac:dyDescent="0.3">
      <c r="D174" s="1"/>
    </row>
    <row r="175" spans="4:4" ht="13.5" customHeight="1" x14ac:dyDescent="0.3">
      <c r="D175" s="1"/>
    </row>
    <row r="176" spans="4:4" ht="13.5" customHeight="1" x14ac:dyDescent="0.3">
      <c r="D176" s="1"/>
    </row>
    <row r="177" spans="4:4" ht="13.5" customHeight="1" x14ac:dyDescent="0.3">
      <c r="D177" s="1"/>
    </row>
    <row r="178" spans="4:4" ht="13.5" customHeight="1" x14ac:dyDescent="0.3">
      <c r="D178" s="1"/>
    </row>
    <row r="179" spans="4:4" ht="13.5" customHeight="1" x14ac:dyDescent="0.3">
      <c r="D179" s="1"/>
    </row>
    <row r="180" spans="4:4" ht="13.5" customHeight="1" x14ac:dyDescent="0.3">
      <c r="D180" s="1"/>
    </row>
    <row r="181" spans="4:4" ht="13.5" customHeight="1" x14ac:dyDescent="0.3">
      <c r="D181" s="1"/>
    </row>
    <row r="182" spans="4:4" ht="13.5" customHeight="1" x14ac:dyDescent="0.3">
      <c r="D182" s="1"/>
    </row>
    <row r="183" spans="4:4" ht="13.5" customHeight="1" x14ac:dyDescent="0.3">
      <c r="D183" s="1"/>
    </row>
    <row r="184" spans="4:4" ht="13.5" customHeight="1" x14ac:dyDescent="0.3">
      <c r="D184" s="1"/>
    </row>
    <row r="185" spans="4:4" ht="13.5" customHeight="1" x14ac:dyDescent="0.3">
      <c r="D185" s="1"/>
    </row>
    <row r="186" spans="4:4" ht="13.5" customHeight="1" x14ac:dyDescent="0.3">
      <c r="D186" s="1"/>
    </row>
    <row r="187" spans="4:4" ht="13.5" customHeight="1" x14ac:dyDescent="0.3">
      <c r="D187" s="1"/>
    </row>
    <row r="188" spans="4:4" ht="13.5" customHeight="1" x14ac:dyDescent="0.3">
      <c r="D188" s="1"/>
    </row>
    <row r="189" spans="4:4" ht="13.5" customHeight="1" x14ac:dyDescent="0.3">
      <c r="D189" s="1"/>
    </row>
    <row r="190" spans="4:4" ht="13.5" customHeight="1" x14ac:dyDescent="0.3">
      <c r="D190" s="1"/>
    </row>
    <row r="191" spans="4:4" ht="13.5" customHeight="1" x14ac:dyDescent="0.3">
      <c r="D191" s="1"/>
    </row>
    <row r="192" spans="4:4" ht="13.5" customHeight="1" x14ac:dyDescent="0.3">
      <c r="D192" s="1"/>
    </row>
    <row r="193" spans="4:4" ht="13.5" customHeight="1" x14ac:dyDescent="0.3">
      <c r="D193" s="1"/>
    </row>
    <row r="194" spans="4:4" ht="13.5" customHeight="1" x14ac:dyDescent="0.3">
      <c r="D194" s="1"/>
    </row>
    <row r="195" spans="4:4" ht="13.5" customHeight="1" x14ac:dyDescent="0.3">
      <c r="D195" s="1"/>
    </row>
    <row r="196" spans="4:4" ht="13.5" customHeight="1" x14ac:dyDescent="0.3">
      <c r="D196" s="1"/>
    </row>
    <row r="197" spans="4:4" ht="13.5" customHeight="1" x14ac:dyDescent="0.3">
      <c r="D197" s="1"/>
    </row>
    <row r="198" spans="4:4" ht="13.5" customHeight="1" x14ac:dyDescent="0.3">
      <c r="D198" s="1"/>
    </row>
    <row r="199" spans="4:4" ht="13.5" customHeight="1" x14ac:dyDescent="0.3">
      <c r="D199" s="1"/>
    </row>
    <row r="200" spans="4:4" ht="13.5" customHeight="1" x14ac:dyDescent="0.3">
      <c r="D200" s="1"/>
    </row>
    <row r="201" spans="4:4" ht="13.5" customHeight="1" x14ac:dyDescent="0.3">
      <c r="D201" s="1"/>
    </row>
    <row r="202" spans="4:4" ht="13.5" customHeight="1" x14ac:dyDescent="0.3">
      <c r="D202" s="1"/>
    </row>
    <row r="203" spans="4:4" ht="13.5" customHeight="1" x14ac:dyDescent="0.3">
      <c r="D203" s="1"/>
    </row>
    <row r="204" spans="4:4" ht="13.5" customHeight="1" x14ac:dyDescent="0.3">
      <c r="D204" s="1"/>
    </row>
    <row r="205" spans="4:4" ht="13.5" customHeight="1" x14ac:dyDescent="0.3">
      <c r="D205" s="1"/>
    </row>
    <row r="206" spans="4:4" ht="13.5" customHeight="1" x14ac:dyDescent="0.3">
      <c r="D206" s="1"/>
    </row>
    <row r="207" spans="4:4" ht="13.5" customHeight="1" x14ac:dyDescent="0.3">
      <c r="D207" s="1"/>
    </row>
    <row r="208" spans="4:4" ht="13.5" customHeight="1" x14ac:dyDescent="0.3">
      <c r="D208" s="1"/>
    </row>
    <row r="209" spans="4:4" ht="13.5" customHeight="1" x14ac:dyDescent="0.3">
      <c r="D209" s="1"/>
    </row>
    <row r="210" spans="4:4" ht="13.5" customHeight="1" x14ac:dyDescent="0.3">
      <c r="D210" s="1"/>
    </row>
    <row r="211" spans="4:4" ht="13.5" customHeight="1" x14ac:dyDescent="0.3">
      <c r="D211" s="1"/>
    </row>
    <row r="212" spans="4:4" ht="13.5" customHeight="1" x14ac:dyDescent="0.3">
      <c r="D212" s="1"/>
    </row>
    <row r="213" spans="4:4" ht="13.5" customHeight="1" x14ac:dyDescent="0.3">
      <c r="D213" s="1"/>
    </row>
    <row r="214" spans="4:4" ht="13.5" customHeight="1" x14ac:dyDescent="0.3">
      <c r="D214" s="1"/>
    </row>
    <row r="215" spans="4:4" ht="13.5" customHeight="1" x14ac:dyDescent="0.3">
      <c r="D215" s="1"/>
    </row>
    <row r="216" spans="4:4" ht="13.5" customHeight="1" x14ac:dyDescent="0.3">
      <c r="D216" s="1"/>
    </row>
    <row r="217" spans="4:4" ht="13.5" customHeight="1" x14ac:dyDescent="0.3">
      <c r="D217" s="1"/>
    </row>
    <row r="218" spans="4:4" ht="13.5" customHeight="1" x14ac:dyDescent="0.3">
      <c r="D218" s="1"/>
    </row>
    <row r="219" spans="4:4" ht="13.5" customHeight="1" x14ac:dyDescent="0.3">
      <c r="D219" s="1"/>
    </row>
    <row r="220" spans="4:4" ht="13.5" customHeight="1" x14ac:dyDescent="0.3">
      <c r="D220" s="1"/>
    </row>
    <row r="221" spans="4:4" ht="13.5" customHeight="1" x14ac:dyDescent="0.3">
      <c r="D221" s="1"/>
    </row>
    <row r="222" spans="4:4" ht="13.5" customHeight="1" x14ac:dyDescent="0.3">
      <c r="D222" s="1"/>
    </row>
    <row r="223" spans="4:4" ht="13.5" customHeight="1" x14ac:dyDescent="0.3">
      <c r="D223" s="1"/>
    </row>
    <row r="224" spans="4:4" ht="13.5" customHeight="1" x14ac:dyDescent="0.3">
      <c r="D224" s="1"/>
    </row>
    <row r="225" spans="4:4" ht="13.5" customHeight="1" x14ac:dyDescent="0.3">
      <c r="D225" s="1"/>
    </row>
    <row r="226" spans="4:4" ht="13.5" customHeight="1" x14ac:dyDescent="0.3">
      <c r="D226" s="1"/>
    </row>
    <row r="227" spans="4:4" ht="13.5" customHeight="1" x14ac:dyDescent="0.3">
      <c r="D227" s="1"/>
    </row>
    <row r="228" spans="4:4" ht="13.5" customHeight="1" x14ac:dyDescent="0.3">
      <c r="D228" s="1"/>
    </row>
    <row r="229" spans="4:4" ht="13.5" customHeight="1" x14ac:dyDescent="0.3">
      <c r="D229" s="1"/>
    </row>
    <row r="230" spans="4:4" ht="13.5" customHeight="1" x14ac:dyDescent="0.3">
      <c r="D230" s="1"/>
    </row>
    <row r="231" spans="4:4" ht="13.5" customHeight="1" x14ac:dyDescent="0.3">
      <c r="D231" s="1"/>
    </row>
    <row r="232" spans="4:4" ht="13.5" customHeight="1" x14ac:dyDescent="0.3">
      <c r="D232" s="1"/>
    </row>
    <row r="233" spans="4:4" ht="13.5" customHeight="1" x14ac:dyDescent="0.3">
      <c r="D233" s="1"/>
    </row>
    <row r="234" spans="4:4" ht="13.5" customHeight="1" x14ac:dyDescent="0.3">
      <c r="D234" s="1"/>
    </row>
    <row r="235" spans="4:4" ht="13.5" customHeight="1" x14ac:dyDescent="0.3">
      <c r="D235" s="1"/>
    </row>
    <row r="236" spans="4:4" ht="13.5" customHeight="1" x14ac:dyDescent="0.3">
      <c r="D236" s="1"/>
    </row>
    <row r="237" spans="4:4" ht="13.5" customHeight="1" x14ac:dyDescent="0.3">
      <c r="D237" s="1"/>
    </row>
    <row r="238" spans="4:4" ht="13.5" customHeight="1" x14ac:dyDescent="0.3">
      <c r="D238" s="1"/>
    </row>
    <row r="239" spans="4:4" ht="13.5" customHeight="1" x14ac:dyDescent="0.3">
      <c r="D239" s="1"/>
    </row>
    <row r="240" spans="4:4" ht="13.5" customHeight="1" x14ac:dyDescent="0.3">
      <c r="D240" s="1"/>
    </row>
    <row r="241" spans="4:4" ht="13.5" customHeight="1" x14ac:dyDescent="0.3">
      <c r="D241" s="1"/>
    </row>
    <row r="242" spans="4:4" ht="13.5" customHeight="1" x14ac:dyDescent="0.3">
      <c r="D242" s="1"/>
    </row>
    <row r="243" spans="4:4" ht="13.5" customHeight="1" x14ac:dyDescent="0.3">
      <c r="D243" s="1"/>
    </row>
    <row r="244" spans="4:4" ht="13.5" customHeight="1" x14ac:dyDescent="0.3">
      <c r="D244" s="1"/>
    </row>
    <row r="245" spans="4:4" ht="13.5" customHeight="1" x14ac:dyDescent="0.3">
      <c r="D245" s="1"/>
    </row>
    <row r="246" spans="4:4" ht="13.5" customHeight="1" x14ac:dyDescent="0.3">
      <c r="D246" s="1"/>
    </row>
    <row r="247" spans="4:4" ht="13.5" customHeight="1" x14ac:dyDescent="0.3">
      <c r="D247" s="1"/>
    </row>
    <row r="248" spans="4:4" ht="13.5" customHeight="1" x14ac:dyDescent="0.3">
      <c r="D248" s="1"/>
    </row>
    <row r="249" spans="4:4" ht="13.5" customHeight="1" x14ac:dyDescent="0.3">
      <c r="D249" s="1"/>
    </row>
    <row r="250" spans="4:4" ht="13.5" customHeight="1" x14ac:dyDescent="0.3">
      <c r="D250" s="1"/>
    </row>
    <row r="251" spans="4:4" ht="13.5" customHeight="1" x14ac:dyDescent="0.3">
      <c r="D251" s="1"/>
    </row>
    <row r="252" spans="4:4" ht="13.5" customHeight="1" x14ac:dyDescent="0.3">
      <c r="D252" s="1"/>
    </row>
    <row r="253" spans="4:4" ht="13.5" customHeight="1" x14ac:dyDescent="0.3">
      <c r="D253" s="1"/>
    </row>
    <row r="254" spans="4:4" ht="13.5" customHeight="1" x14ac:dyDescent="0.3">
      <c r="D254" s="1"/>
    </row>
    <row r="255" spans="4:4" ht="13.5" customHeight="1" x14ac:dyDescent="0.3">
      <c r="D255" s="1"/>
    </row>
    <row r="256" spans="4:4" ht="13.5" customHeight="1" x14ac:dyDescent="0.3">
      <c r="D256" s="1"/>
    </row>
    <row r="257" spans="4:4" ht="13.5" customHeight="1" x14ac:dyDescent="0.3">
      <c r="D257" s="1"/>
    </row>
    <row r="258" spans="4:4" ht="13.5" customHeight="1" x14ac:dyDescent="0.3">
      <c r="D258" s="1"/>
    </row>
    <row r="259" spans="4:4" ht="13.5" customHeight="1" x14ac:dyDescent="0.3">
      <c r="D259" s="1"/>
    </row>
    <row r="260" spans="4:4" ht="13.5" customHeight="1" x14ac:dyDescent="0.3">
      <c r="D260" s="1"/>
    </row>
    <row r="261" spans="4:4" ht="13.5" customHeight="1" x14ac:dyDescent="0.3">
      <c r="D261" s="1"/>
    </row>
    <row r="262" spans="4:4" ht="13.5" customHeight="1" x14ac:dyDescent="0.3">
      <c r="D262" s="1"/>
    </row>
    <row r="263" spans="4:4" ht="13.5" customHeight="1" x14ac:dyDescent="0.3">
      <c r="D263" s="1"/>
    </row>
    <row r="264" spans="4:4" ht="13.5" customHeight="1" x14ac:dyDescent="0.3">
      <c r="D264" s="1"/>
    </row>
    <row r="265" spans="4:4" ht="13.5" customHeight="1" x14ac:dyDescent="0.3">
      <c r="D265" s="1"/>
    </row>
    <row r="266" spans="4:4" ht="13.5" customHeight="1" x14ac:dyDescent="0.3">
      <c r="D266" s="1"/>
    </row>
    <row r="267" spans="4:4" ht="13.5" customHeight="1" x14ac:dyDescent="0.3">
      <c r="D267" s="1"/>
    </row>
    <row r="268" spans="4:4" ht="13.5" customHeight="1" x14ac:dyDescent="0.3">
      <c r="D268" s="1"/>
    </row>
    <row r="269" spans="4:4" ht="13.5" customHeight="1" x14ac:dyDescent="0.3">
      <c r="D269" s="1"/>
    </row>
    <row r="270" spans="4:4" ht="13.5" customHeight="1" x14ac:dyDescent="0.3">
      <c r="D270" s="1"/>
    </row>
    <row r="271" spans="4:4" ht="13.5" customHeight="1" x14ac:dyDescent="0.3">
      <c r="D271" s="1"/>
    </row>
    <row r="272" spans="4:4" ht="13.5" customHeight="1" x14ac:dyDescent="0.3">
      <c r="D272" s="1"/>
    </row>
    <row r="273" spans="4:4" ht="13.5" customHeight="1" x14ac:dyDescent="0.3">
      <c r="D273" s="1"/>
    </row>
    <row r="274" spans="4:4" ht="13.5" customHeight="1" x14ac:dyDescent="0.3">
      <c r="D274" s="1"/>
    </row>
    <row r="275" spans="4:4" ht="13.5" customHeight="1" x14ac:dyDescent="0.3">
      <c r="D275" s="1"/>
    </row>
    <row r="276" spans="4:4" ht="13.5" customHeight="1" x14ac:dyDescent="0.3">
      <c r="D276" s="1"/>
    </row>
    <row r="277" spans="4:4" ht="13.5" customHeight="1" x14ac:dyDescent="0.3">
      <c r="D277" s="1"/>
    </row>
    <row r="278" spans="4:4" ht="13.5" customHeight="1" x14ac:dyDescent="0.3">
      <c r="D278" s="1"/>
    </row>
    <row r="279" spans="4:4" ht="13.5" customHeight="1" x14ac:dyDescent="0.3">
      <c r="D279" s="1"/>
    </row>
    <row r="280" spans="4:4" ht="13.5" customHeight="1" x14ac:dyDescent="0.3">
      <c r="D280" s="1"/>
    </row>
    <row r="281" spans="4:4" ht="13.5" customHeight="1" x14ac:dyDescent="0.3">
      <c r="D281" s="1"/>
    </row>
    <row r="282" spans="4:4" ht="13.5" customHeight="1" x14ac:dyDescent="0.3">
      <c r="D282" s="1"/>
    </row>
    <row r="283" spans="4:4" ht="13.5" customHeight="1" x14ac:dyDescent="0.3">
      <c r="D283" s="1"/>
    </row>
    <row r="284" spans="4:4" ht="13.5" customHeight="1" x14ac:dyDescent="0.3">
      <c r="D284" s="1"/>
    </row>
    <row r="285" spans="4:4" ht="13.5" customHeight="1" x14ac:dyDescent="0.3">
      <c r="D285" s="1"/>
    </row>
    <row r="286" spans="4:4" ht="13.5" customHeight="1" x14ac:dyDescent="0.3">
      <c r="D286" s="1"/>
    </row>
    <row r="287" spans="4:4" ht="13.5" customHeight="1" x14ac:dyDescent="0.3">
      <c r="D287" s="1"/>
    </row>
    <row r="288" spans="4:4" ht="13.5" customHeight="1" x14ac:dyDescent="0.3">
      <c r="D288" s="1"/>
    </row>
    <row r="289" spans="4:4" ht="13.5" customHeight="1" x14ac:dyDescent="0.3">
      <c r="D289" s="1"/>
    </row>
    <row r="290" spans="4:4" ht="13.5" customHeight="1" x14ac:dyDescent="0.3">
      <c r="D290" s="1"/>
    </row>
    <row r="291" spans="4:4" ht="13.5" customHeight="1" x14ac:dyDescent="0.3">
      <c r="D291" s="1"/>
    </row>
    <row r="292" spans="4:4" ht="13.5" customHeight="1" x14ac:dyDescent="0.3">
      <c r="D292" s="1"/>
    </row>
    <row r="293" spans="4:4" ht="13.5" customHeight="1" x14ac:dyDescent="0.3">
      <c r="D293" s="1"/>
    </row>
    <row r="294" spans="4:4" ht="13.5" customHeight="1" x14ac:dyDescent="0.3">
      <c r="D294" s="1"/>
    </row>
    <row r="295" spans="4:4" ht="13.5" customHeight="1" x14ac:dyDescent="0.3">
      <c r="D295" s="1"/>
    </row>
    <row r="296" spans="4:4" ht="13.5" customHeight="1" x14ac:dyDescent="0.3">
      <c r="D296" s="1"/>
    </row>
    <row r="297" spans="4:4" ht="13.5" customHeight="1" x14ac:dyDescent="0.3">
      <c r="D297" s="1"/>
    </row>
    <row r="298" spans="4:4" ht="13.5" customHeight="1" x14ac:dyDescent="0.3">
      <c r="D298" s="1"/>
    </row>
    <row r="299" spans="4:4" ht="13.5" customHeight="1" x14ac:dyDescent="0.3">
      <c r="D299" s="1"/>
    </row>
    <row r="300" spans="4:4" ht="13.5" customHeight="1" x14ac:dyDescent="0.3">
      <c r="D300" s="1"/>
    </row>
    <row r="301" spans="4:4" ht="13.5" customHeight="1" x14ac:dyDescent="0.3">
      <c r="D301" s="1"/>
    </row>
    <row r="302" spans="4:4" ht="13.5" customHeight="1" x14ac:dyDescent="0.3">
      <c r="D302" s="1"/>
    </row>
    <row r="303" spans="4:4" ht="13.5" customHeight="1" x14ac:dyDescent="0.3">
      <c r="D303" s="1"/>
    </row>
    <row r="304" spans="4:4" ht="13.5" customHeight="1" x14ac:dyDescent="0.3">
      <c r="D304" s="1"/>
    </row>
    <row r="305" spans="4:4" ht="13.5" customHeight="1" x14ac:dyDescent="0.3">
      <c r="D305" s="1"/>
    </row>
    <row r="306" spans="4:4" ht="13.5" customHeight="1" x14ac:dyDescent="0.3">
      <c r="D306" s="1"/>
    </row>
    <row r="307" spans="4:4" ht="13.5" customHeight="1" x14ac:dyDescent="0.3">
      <c r="D307" s="1"/>
    </row>
    <row r="308" spans="4:4" ht="13.5" customHeight="1" x14ac:dyDescent="0.3">
      <c r="D308" s="1"/>
    </row>
    <row r="309" spans="4:4" ht="13.5" customHeight="1" x14ac:dyDescent="0.3">
      <c r="D309" s="1"/>
    </row>
    <row r="310" spans="4:4" ht="13.5" customHeight="1" x14ac:dyDescent="0.3">
      <c r="D310" s="1"/>
    </row>
    <row r="311" spans="4:4" ht="13.5" customHeight="1" x14ac:dyDescent="0.3">
      <c r="D311" s="1"/>
    </row>
    <row r="312" spans="4:4" ht="13.5" customHeight="1" x14ac:dyDescent="0.3">
      <c r="D312" s="1"/>
    </row>
    <row r="313" spans="4:4" ht="13.5" customHeight="1" x14ac:dyDescent="0.3">
      <c r="D313" s="1"/>
    </row>
    <row r="314" spans="4:4" ht="13.5" customHeight="1" x14ac:dyDescent="0.3">
      <c r="D314" s="1"/>
    </row>
    <row r="315" spans="4:4" ht="13.5" customHeight="1" x14ac:dyDescent="0.3">
      <c r="D315" s="1"/>
    </row>
    <row r="316" spans="4:4" ht="13.5" customHeight="1" x14ac:dyDescent="0.3">
      <c r="D316" s="1"/>
    </row>
    <row r="317" spans="4:4" ht="13.5" customHeight="1" x14ac:dyDescent="0.3">
      <c r="D317" s="1"/>
    </row>
    <row r="318" spans="4:4" ht="13.5" customHeight="1" x14ac:dyDescent="0.3">
      <c r="D318" s="1"/>
    </row>
    <row r="319" spans="4:4" ht="13.5" customHeight="1" x14ac:dyDescent="0.3">
      <c r="D319" s="1"/>
    </row>
    <row r="320" spans="4:4" ht="13.5" customHeight="1" x14ac:dyDescent="0.3">
      <c r="D320" s="1"/>
    </row>
    <row r="321" spans="4:4" ht="13.5" customHeight="1" x14ac:dyDescent="0.3">
      <c r="D321" s="1"/>
    </row>
    <row r="322" spans="4:4" ht="13.5" customHeight="1" x14ac:dyDescent="0.3">
      <c r="D322" s="1"/>
    </row>
    <row r="323" spans="4:4" ht="13.5" customHeight="1" x14ac:dyDescent="0.3">
      <c r="D323" s="1"/>
    </row>
    <row r="324" spans="4:4" ht="13.5" customHeight="1" x14ac:dyDescent="0.3">
      <c r="D324" s="1"/>
    </row>
    <row r="325" spans="4:4" ht="13.5" customHeight="1" x14ac:dyDescent="0.3">
      <c r="D325" s="1"/>
    </row>
    <row r="326" spans="4:4" ht="13.5" customHeight="1" x14ac:dyDescent="0.3">
      <c r="D326" s="1"/>
    </row>
    <row r="327" spans="4:4" ht="13.5" customHeight="1" x14ac:dyDescent="0.3">
      <c r="D327" s="1"/>
    </row>
    <row r="328" spans="4:4" ht="13.5" customHeight="1" x14ac:dyDescent="0.3">
      <c r="D328" s="1"/>
    </row>
    <row r="329" spans="4:4" ht="13.5" customHeight="1" x14ac:dyDescent="0.3">
      <c r="D329" s="1"/>
    </row>
    <row r="330" spans="4:4" ht="13.5" customHeight="1" x14ac:dyDescent="0.3">
      <c r="D330" s="1"/>
    </row>
    <row r="331" spans="4:4" ht="13.5" customHeight="1" x14ac:dyDescent="0.3">
      <c r="D331" s="1"/>
    </row>
    <row r="332" spans="4:4" ht="13.5" customHeight="1" x14ac:dyDescent="0.3">
      <c r="D332" s="1"/>
    </row>
    <row r="333" spans="4:4" ht="13.5" customHeight="1" x14ac:dyDescent="0.3">
      <c r="D333" s="1"/>
    </row>
    <row r="334" spans="4:4" ht="13.5" customHeight="1" x14ac:dyDescent="0.3">
      <c r="D334" s="1"/>
    </row>
    <row r="335" spans="4:4" ht="13.5" customHeight="1" x14ac:dyDescent="0.3">
      <c r="D335" s="1"/>
    </row>
    <row r="336" spans="4:4" ht="13.5" customHeight="1" x14ac:dyDescent="0.3">
      <c r="D336" s="1"/>
    </row>
    <row r="337" spans="4:4" ht="13.5" customHeight="1" x14ac:dyDescent="0.3">
      <c r="D337" s="1"/>
    </row>
    <row r="338" spans="4:4" ht="13.5" customHeight="1" x14ac:dyDescent="0.3">
      <c r="D338" s="1"/>
    </row>
    <row r="339" spans="4:4" ht="13.5" customHeight="1" x14ac:dyDescent="0.3">
      <c r="D339" s="1"/>
    </row>
    <row r="340" spans="4:4" ht="13.5" customHeight="1" x14ac:dyDescent="0.3">
      <c r="D340" s="1"/>
    </row>
    <row r="341" spans="4:4" ht="13.5" customHeight="1" x14ac:dyDescent="0.3">
      <c r="D341" s="1"/>
    </row>
    <row r="342" spans="4:4" ht="13.5" customHeight="1" x14ac:dyDescent="0.3">
      <c r="D342" s="1"/>
    </row>
    <row r="343" spans="4:4" ht="13.5" customHeight="1" x14ac:dyDescent="0.3">
      <c r="D343" s="1"/>
    </row>
    <row r="344" spans="4:4" ht="13.5" customHeight="1" x14ac:dyDescent="0.3">
      <c r="D344" s="1"/>
    </row>
    <row r="345" spans="4:4" ht="13.5" customHeight="1" x14ac:dyDescent="0.3">
      <c r="D345" s="1"/>
    </row>
    <row r="346" spans="4:4" ht="13.5" customHeight="1" x14ac:dyDescent="0.3">
      <c r="D346" s="1"/>
    </row>
    <row r="347" spans="4:4" ht="13.5" customHeight="1" x14ac:dyDescent="0.3">
      <c r="D347" s="1"/>
    </row>
    <row r="348" spans="4:4" ht="13.5" customHeight="1" x14ac:dyDescent="0.3">
      <c r="D348" s="1"/>
    </row>
    <row r="349" spans="4:4" ht="13.5" customHeight="1" x14ac:dyDescent="0.3">
      <c r="D349" s="1"/>
    </row>
    <row r="350" spans="4:4" ht="13.5" customHeight="1" x14ac:dyDescent="0.3">
      <c r="D350" s="1"/>
    </row>
    <row r="351" spans="4:4" ht="13.5" customHeight="1" x14ac:dyDescent="0.3">
      <c r="D351" s="1"/>
    </row>
    <row r="352" spans="4:4" ht="13.5" customHeight="1" x14ac:dyDescent="0.3">
      <c r="D352" s="1"/>
    </row>
    <row r="353" spans="4:4" ht="13.5" customHeight="1" x14ac:dyDescent="0.3">
      <c r="D353" s="1"/>
    </row>
    <row r="354" spans="4:4" ht="13.5" customHeight="1" x14ac:dyDescent="0.3">
      <c r="D354" s="1"/>
    </row>
    <row r="355" spans="4:4" ht="13.5" customHeight="1" x14ac:dyDescent="0.3">
      <c r="D355" s="1"/>
    </row>
    <row r="356" spans="4:4" ht="13.5" customHeight="1" x14ac:dyDescent="0.3">
      <c r="D356" s="1"/>
    </row>
    <row r="357" spans="4:4" ht="13.5" customHeight="1" x14ac:dyDescent="0.3">
      <c r="D357" s="1"/>
    </row>
    <row r="358" spans="4:4" ht="13.5" customHeight="1" x14ac:dyDescent="0.3">
      <c r="D358" s="1"/>
    </row>
    <row r="359" spans="4:4" ht="13.5" customHeight="1" x14ac:dyDescent="0.3">
      <c r="D359" s="1"/>
    </row>
    <row r="360" spans="4:4" ht="13.5" customHeight="1" x14ac:dyDescent="0.3">
      <c r="D360" s="1"/>
    </row>
    <row r="361" spans="4:4" ht="13.5" customHeight="1" x14ac:dyDescent="0.3">
      <c r="D361" s="1"/>
    </row>
    <row r="362" spans="4:4" ht="13.5" customHeight="1" x14ac:dyDescent="0.3">
      <c r="D362" s="1"/>
    </row>
    <row r="363" spans="4:4" ht="13.5" customHeight="1" x14ac:dyDescent="0.3">
      <c r="D363" s="1"/>
    </row>
    <row r="364" spans="4:4" ht="13.5" customHeight="1" x14ac:dyDescent="0.3">
      <c r="D364" s="1"/>
    </row>
    <row r="365" spans="4:4" ht="13.5" customHeight="1" x14ac:dyDescent="0.3">
      <c r="D365" s="1"/>
    </row>
    <row r="366" spans="4:4" ht="13.5" customHeight="1" x14ac:dyDescent="0.3">
      <c r="D366" s="1"/>
    </row>
    <row r="367" spans="4:4" ht="13.5" customHeight="1" x14ac:dyDescent="0.3">
      <c r="D367" s="1"/>
    </row>
    <row r="368" spans="4:4" ht="13.5" customHeight="1" x14ac:dyDescent="0.3">
      <c r="D368" s="1"/>
    </row>
    <row r="369" spans="4:4" ht="13.5" customHeight="1" x14ac:dyDescent="0.3">
      <c r="D369" s="1"/>
    </row>
    <row r="370" spans="4:4" ht="13.5" customHeight="1" x14ac:dyDescent="0.3">
      <c r="D370" s="1"/>
    </row>
    <row r="371" spans="4:4" ht="13.5" customHeight="1" x14ac:dyDescent="0.3">
      <c r="D371" s="1"/>
    </row>
    <row r="372" spans="4:4" ht="13.5" customHeight="1" x14ac:dyDescent="0.3">
      <c r="D372" s="1"/>
    </row>
    <row r="373" spans="4:4" ht="13.5" customHeight="1" x14ac:dyDescent="0.3">
      <c r="D373" s="1"/>
    </row>
    <row r="374" spans="4:4" ht="13.5" customHeight="1" x14ac:dyDescent="0.3">
      <c r="D374" s="1"/>
    </row>
    <row r="375" spans="4:4" ht="13.5" customHeight="1" x14ac:dyDescent="0.3">
      <c r="D375" s="1"/>
    </row>
    <row r="376" spans="4:4" ht="13.5" customHeight="1" x14ac:dyDescent="0.3">
      <c r="D376" s="1"/>
    </row>
    <row r="377" spans="4:4" ht="13.5" customHeight="1" x14ac:dyDescent="0.3">
      <c r="D377" s="1"/>
    </row>
    <row r="378" spans="4:4" ht="13.5" customHeight="1" x14ac:dyDescent="0.3">
      <c r="D378" s="1"/>
    </row>
    <row r="379" spans="4:4" ht="13.5" customHeight="1" x14ac:dyDescent="0.3">
      <c r="D379" s="1"/>
    </row>
    <row r="380" spans="4:4" ht="13.5" customHeight="1" x14ac:dyDescent="0.3">
      <c r="D380" s="1"/>
    </row>
    <row r="381" spans="4:4" ht="13.5" customHeight="1" x14ac:dyDescent="0.3">
      <c r="D381" s="1"/>
    </row>
    <row r="382" spans="4:4" ht="13.5" customHeight="1" x14ac:dyDescent="0.3">
      <c r="D382" s="1"/>
    </row>
    <row r="383" spans="4:4" ht="13.5" customHeight="1" x14ac:dyDescent="0.3">
      <c r="D383" s="1"/>
    </row>
    <row r="384" spans="4:4" ht="13.5" customHeight="1" x14ac:dyDescent="0.3">
      <c r="D384" s="1"/>
    </row>
    <row r="385" spans="4:4" ht="13.5" customHeight="1" x14ac:dyDescent="0.3">
      <c r="D385" s="1"/>
    </row>
    <row r="386" spans="4:4" ht="13.5" customHeight="1" x14ac:dyDescent="0.3">
      <c r="D386" s="1"/>
    </row>
    <row r="387" spans="4:4" ht="13.5" customHeight="1" x14ac:dyDescent="0.3">
      <c r="D387" s="1"/>
    </row>
    <row r="388" spans="4:4" ht="13.5" customHeight="1" x14ac:dyDescent="0.3">
      <c r="D388" s="1"/>
    </row>
    <row r="389" spans="4:4" ht="13.5" customHeight="1" x14ac:dyDescent="0.3">
      <c r="D389" s="1"/>
    </row>
    <row r="390" spans="4:4" ht="13.5" customHeight="1" x14ac:dyDescent="0.3">
      <c r="D390" s="1"/>
    </row>
    <row r="391" spans="4:4" ht="13.5" customHeight="1" x14ac:dyDescent="0.3">
      <c r="D391" s="1"/>
    </row>
    <row r="392" spans="4:4" ht="13.5" customHeight="1" x14ac:dyDescent="0.3">
      <c r="D392" s="1"/>
    </row>
    <row r="393" spans="4:4" ht="13.5" customHeight="1" x14ac:dyDescent="0.3">
      <c r="D393" s="1"/>
    </row>
    <row r="394" spans="4:4" ht="13.5" customHeight="1" x14ac:dyDescent="0.3">
      <c r="D394" s="1"/>
    </row>
    <row r="395" spans="4:4" ht="13.5" customHeight="1" x14ac:dyDescent="0.3">
      <c r="D395" s="1"/>
    </row>
    <row r="396" spans="4:4" ht="13.5" customHeight="1" x14ac:dyDescent="0.3">
      <c r="D396" s="1"/>
    </row>
    <row r="397" spans="4:4" ht="13.5" customHeight="1" x14ac:dyDescent="0.3">
      <c r="D397" s="1"/>
    </row>
    <row r="398" spans="4:4" ht="13.5" customHeight="1" x14ac:dyDescent="0.3">
      <c r="D398" s="1"/>
    </row>
    <row r="399" spans="4:4" ht="13.5" customHeight="1" x14ac:dyDescent="0.3">
      <c r="D399" s="1"/>
    </row>
    <row r="400" spans="4:4" ht="13.5" customHeight="1" x14ac:dyDescent="0.3">
      <c r="D400" s="1"/>
    </row>
    <row r="401" spans="4:4" ht="13.5" customHeight="1" x14ac:dyDescent="0.3">
      <c r="D401" s="1"/>
    </row>
    <row r="402" spans="4:4" ht="13.5" customHeight="1" x14ac:dyDescent="0.3">
      <c r="D402" s="1"/>
    </row>
    <row r="403" spans="4:4" ht="13.5" customHeight="1" x14ac:dyDescent="0.3">
      <c r="D403" s="1"/>
    </row>
    <row r="404" spans="4:4" ht="13.5" customHeight="1" x14ac:dyDescent="0.3">
      <c r="D404" s="1"/>
    </row>
    <row r="405" spans="4:4" ht="13.5" customHeight="1" x14ac:dyDescent="0.3">
      <c r="D405" s="1"/>
    </row>
    <row r="406" spans="4:4" ht="13.5" customHeight="1" x14ac:dyDescent="0.3">
      <c r="D406" s="1"/>
    </row>
    <row r="407" spans="4:4" ht="13.5" customHeight="1" x14ac:dyDescent="0.3">
      <c r="D407" s="1"/>
    </row>
    <row r="408" spans="4:4" ht="13.5" customHeight="1" x14ac:dyDescent="0.3">
      <c r="D408" s="1"/>
    </row>
    <row r="409" spans="4:4" ht="13.5" customHeight="1" x14ac:dyDescent="0.3">
      <c r="D409" s="1"/>
    </row>
    <row r="410" spans="4:4" ht="13.5" customHeight="1" x14ac:dyDescent="0.3">
      <c r="D410" s="1"/>
    </row>
    <row r="411" spans="4:4" ht="13.5" customHeight="1" x14ac:dyDescent="0.3">
      <c r="D411" s="1"/>
    </row>
    <row r="412" spans="4:4" ht="13.5" customHeight="1" x14ac:dyDescent="0.3">
      <c r="D412" s="1"/>
    </row>
    <row r="413" spans="4:4" ht="13.5" customHeight="1" x14ac:dyDescent="0.3">
      <c r="D413" s="1"/>
    </row>
    <row r="414" spans="4:4" ht="13.5" customHeight="1" x14ac:dyDescent="0.3">
      <c r="D414" s="1"/>
    </row>
    <row r="415" spans="4:4" ht="13.5" customHeight="1" x14ac:dyDescent="0.3">
      <c r="D415" s="1"/>
    </row>
    <row r="416" spans="4:4" ht="13.5" customHeight="1" x14ac:dyDescent="0.3">
      <c r="D416" s="1"/>
    </row>
    <row r="417" spans="4:4" ht="13.5" customHeight="1" x14ac:dyDescent="0.3">
      <c r="D417" s="1"/>
    </row>
    <row r="418" spans="4:4" ht="13.5" customHeight="1" x14ac:dyDescent="0.3">
      <c r="D418" s="1"/>
    </row>
    <row r="419" spans="4:4" ht="13.5" customHeight="1" x14ac:dyDescent="0.3">
      <c r="D419" s="1"/>
    </row>
    <row r="420" spans="4:4" ht="13.5" customHeight="1" x14ac:dyDescent="0.3">
      <c r="D420" s="1"/>
    </row>
    <row r="421" spans="4:4" ht="13.5" customHeight="1" x14ac:dyDescent="0.3">
      <c r="D421" s="1"/>
    </row>
    <row r="422" spans="4:4" ht="13.5" customHeight="1" x14ac:dyDescent="0.3">
      <c r="D422" s="1"/>
    </row>
    <row r="423" spans="4:4" ht="13.5" customHeight="1" x14ac:dyDescent="0.3">
      <c r="D423" s="1"/>
    </row>
    <row r="424" spans="4:4" ht="13.5" customHeight="1" x14ac:dyDescent="0.3">
      <c r="D424" s="1"/>
    </row>
    <row r="425" spans="4:4" ht="13.5" customHeight="1" x14ac:dyDescent="0.3">
      <c r="D425" s="1"/>
    </row>
    <row r="426" spans="4:4" ht="13.5" customHeight="1" x14ac:dyDescent="0.3">
      <c r="D426" s="1"/>
    </row>
    <row r="427" spans="4:4" ht="13.5" customHeight="1" x14ac:dyDescent="0.3">
      <c r="D427" s="1"/>
    </row>
    <row r="428" spans="4:4" ht="13.5" customHeight="1" x14ac:dyDescent="0.3">
      <c r="D428" s="1"/>
    </row>
    <row r="429" spans="4:4" ht="13.5" customHeight="1" x14ac:dyDescent="0.3">
      <c r="D429" s="1"/>
    </row>
    <row r="430" spans="4:4" ht="13.5" customHeight="1" x14ac:dyDescent="0.3">
      <c r="D430" s="1"/>
    </row>
    <row r="431" spans="4:4" ht="13.5" customHeight="1" x14ac:dyDescent="0.3">
      <c r="D431" s="1"/>
    </row>
    <row r="432" spans="4:4" ht="13.5" customHeight="1" x14ac:dyDescent="0.3">
      <c r="D432" s="1"/>
    </row>
    <row r="433" spans="4:4" ht="13.5" customHeight="1" x14ac:dyDescent="0.3">
      <c r="D433" s="1"/>
    </row>
    <row r="434" spans="4:4" ht="13.5" customHeight="1" x14ac:dyDescent="0.3">
      <c r="D434" s="1"/>
    </row>
    <row r="435" spans="4:4" ht="13.5" customHeight="1" x14ac:dyDescent="0.3">
      <c r="D435" s="1"/>
    </row>
    <row r="436" spans="4:4" ht="13.5" customHeight="1" x14ac:dyDescent="0.3">
      <c r="D436" s="1"/>
    </row>
    <row r="437" spans="4:4" ht="13.5" customHeight="1" x14ac:dyDescent="0.3">
      <c r="D437" s="1"/>
    </row>
    <row r="438" spans="4:4" ht="13.5" customHeight="1" x14ac:dyDescent="0.3">
      <c r="D438" s="1"/>
    </row>
    <row r="439" spans="4:4" ht="13.5" customHeight="1" x14ac:dyDescent="0.3">
      <c r="D439" s="1"/>
    </row>
    <row r="440" spans="4:4" ht="13.5" customHeight="1" x14ac:dyDescent="0.3">
      <c r="D440" s="1"/>
    </row>
    <row r="441" spans="4:4" ht="13.5" customHeight="1" x14ac:dyDescent="0.3">
      <c r="D441" s="1"/>
    </row>
    <row r="442" spans="4:4" ht="13.5" customHeight="1" x14ac:dyDescent="0.3">
      <c r="D442" s="1"/>
    </row>
    <row r="443" spans="4:4" ht="13.5" customHeight="1" x14ac:dyDescent="0.3">
      <c r="D443" s="1"/>
    </row>
    <row r="444" spans="4:4" ht="13.5" customHeight="1" x14ac:dyDescent="0.3">
      <c r="D444" s="1"/>
    </row>
    <row r="445" spans="4:4" ht="13.5" customHeight="1" x14ac:dyDescent="0.3">
      <c r="D445" s="1"/>
    </row>
    <row r="446" spans="4:4" ht="13.5" customHeight="1" x14ac:dyDescent="0.3">
      <c r="D446" s="1"/>
    </row>
    <row r="447" spans="4:4" ht="13.5" customHeight="1" x14ac:dyDescent="0.3">
      <c r="D447" s="1"/>
    </row>
    <row r="448" spans="4:4" ht="13.5" customHeight="1" x14ac:dyDescent="0.3">
      <c r="D448" s="1"/>
    </row>
    <row r="449" spans="4:4" ht="13.5" customHeight="1" x14ac:dyDescent="0.3">
      <c r="D449" s="1"/>
    </row>
    <row r="450" spans="4:4" ht="13.5" customHeight="1" x14ac:dyDescent="0.3">
      <c r="D450" s="1"/>
    </row>
    <row r="451" spans="4:4" ht="13.5" customHeight="1" x14ac:dyDescent="0.3">
      <c r="D451" s="1"/>
    </row>
    <row r="452" spans="4:4" ht="13.5" customHeight="1" x14ac:dyDescent="0.3">
      <c r="D452" s="1"/>
    </row>
    <row r="453" spans="4:4" ht="13.5" customHeight="1" x14ac:dyDescent="0.3">
      <c r="D453" s="1"/>
    </row>
    <row r="454" spans="4:4" ht="13.5" customHeight="1" x14ac:dyDescent="0.3">
      <c r="D454" s="1"/>
    </row>
    <row r="455" spans="4:4" ht="13.5" customHeight="1" x14ac:dyDescent="0.3">
      <c r="D455" s="1"/>
    </row>
    <row r="456" spans="4:4" ht="13.5" customHeight="1" x14ac:dyDescent="0.3">
      <c r="D456" s="1"/>
    </row>
    <row r="457" spans="4:4" ht="13.5" customHeight="1" x14ac:dyDescent="0.3">
      <c r="D457" s="1"/>
    </row>
    <row r="458" spans="4:4" ht="13.5" customHeight="1" x14ac:dyDescent="0.3">
      <c r="D458" s="1"/>
    </row>
    <row r="459" spans="4:4" ht="13.5" customHeight="1" x14ac:dyDescent="0.3">
      <c r="D459" s="1"/>
    </row>
    <row r="460" spans="4:4" ht="13.5" customHeight="1" x14ac:dyDescent="0.3">
      <c r="D460" s="1"/>
    </row>
    <row r="461" spans="4:4" ht="13.5" customHeight="1" x14ac:dyDescent="0.3">
      <c r="D461" s="1"/>
    </row>
    <row r="462" spans="4:4" ht="13.5" customHeight="1" x14ac:dyDescent="0.3">
      <c r="D462" s="1"/>
    </row>
    <row r="463" spans="4:4" ht="13.5" customHeight="1" x14ac:dyDescent="0.3">
      <c r="D463" s="1"/>
    </row>
    <row r="464" spans="4:4" ht="13.5" customHeight="1" x14ac:dyDescent="0.3">
      <c r="D464" s="1"/>
    </row>
    <row r="465" spans="4:4" ht="13.5" customHeight="1" x14ac:dyDescent="0.3">
      <c r="D465" s="1"/>
    </row>
    <row r="466" spans="4:4" ht="13.5" customHeight="1" x14ac:dyDescent="0.3">
      <c r="D466" s="1"/>
    </row>
    <row r="467" spans="4:4" ht="13.5" customHeight="1" x14ac:dyDescent="0.3">
      <c r="D467" s="1"/>
    </row>
    <row r="468" spans="4:4" ht="13.5" customHeight="1" x14ac:dyDescent="0.3">
      <c r="D468" s="1"/>
    </row>
    <row r="469" spans="4:4" ht="13.5" customHeight="1" x14ac:dyDescent="0.3">
      <c r="D469" s="1"/>
    </row>
    <row r="470" spans="4:4" ht="13.5" customHeight="1" x14ac:dyDescent="0.3">
      <c r="D470" s="1"/>
    </row>
    <row r="471" spans="4:4" ht="13.5" customHeight="1" x14ac:dyDescent="0.3">
      <c r="D471" s="1"/>
    </row>
    <row r="472" spans="4:4" ht="13.5" customHeight="1" x14ac:dyDescent="0.3">
      <c r="D472" s="1"/>
    </row>
    <row r="473" spans="4:4" ht="13.5" customHeight="1" x14ac:dyDescent="0.3">
      <c r="D473" s="1"/>
    </row>
    <row r="474" spans="4:4" ht="13.5" customHeight="1" x14ac:dyDescent="0.3">
      <c r="D474" s="1"/>
    </row>
    <row r="475" spans="4:4" ht="13.5" customHeight="1" x14ac:dyDescent="0.3">
      <c r="D475" s="1"/>
    </row>
    <row r="476" spans="4:4" ht="13.5" customHeight="1" x14ac:dyDescent="0.3">
      <c r="D476" s="1"/>
    </row>
    <row r="477" spans="4:4" ht="13.5" customHeight="1" x14ac:dyDescent="0.3">
      <c r="D477" s="1"/>
    </row>
    <row r="478" spans="4:4" ht="13.5" customHeight="1" x14ac:dyDescent="0.3">
      <c r="D478" s="1"/>
    </row>
    <row r="479" spans="4:4" ht="13.5" customHeight="1" x14ac:dyDescent="0.3">
      <c r="D479" s="1"/>
    </row>
    <row r="480" spans="4:4" ht="13.5" customHeight="1" x14ac:dyDescent="0.3">
      <c r="D480" s="1"/>
    </row>
    <row r="481" spans="4:4" ht="13.5" customHeight="1" x14ac:dyDescent="0.3">
      <c r="D481" s="1"/>
    </row>
    <row r="482" spans="4:4" ht="13.5" customHeight="1" x14ac:dyDescent="0.3">
      <c r="D482" s="1"/>
    </row>
    <row r="483" spans="4:4" ht="13.5" customHeight="1" x14ac:dyDescent="0.3">
      <c r="D483" s="1"/>
    </row>
    <row r="484" spans="4:4" ht="13.5" customHeight="1" x14ac:dyDescent="0.3">
      <c r="D484" s="1"/>
    </row>
    <row r="485" spans="4:4" ht="13.5" customHeight="1" x14ac:dyDescent="0.3">
      <c r="D485" s="1"/>
    </row>
    <row r="486" spans="4:4" ht="13.5" customHeight="1" x14ac:dyDescent="0.3">
      <c r="D486" s="1"/>
    </row>
    <row r="487" spans="4:4" ht="13.5" customHeight="1" x14ac:dyDescent="0.3">
      <c r="D487" s="1"/>
    </row>
    <row r="488" spans="4:4" ht="13.5" customHeight="1" x14ac:dyDescent="0.3">
      <c r="D488" s="1"/>
    </row>
    <row r="489" spans="4:4" ht="13.5" customHeight="1" x14ac:dyDescent="0.3">
      <c r="D489" s="1"/>
    </row>
    <row r="490" spans="4:4" ht="13.5" customHeight="1" x14ac:dyDescent="0.3">
      <c r="D490" s="1"/>
    </row>
    <row r="491" spans="4:4" ht="13.5" customHeight="1" x14ac:dyDescent="0.3">
      <c r="D491" s="1"/>
    </row>
    <row r="492" spans="4:4" ht="13.5" customHeight="1" x14ac:dyDescent="0.3">
      <c r="D492" s="1"/>
    </row>
    <row r="493" spans="4:4" ht="13.5" customHeight="1" x14ac:dyDescent="0.3">
      <c r="D493" s="1"/>
    </row>
    <row r="494" spans="4:4" ht="13.5" customHeight="1" x14ac:dyDescent="0.3">
      <c r="D494" s="1"/>
    </row>
    <row r="495" spans="4:4" ht="13.5" customHeight="1" x14ac:dyDescent="0.3">
      <c r="D495" s="1"/>
    </row>
    <row r="496" spans="4:4" ht="13.5" customHeight="1" x14ac:dyDescent="0.3">
      <c r="D496" s="1"/>
    </row>
    <row r="497" spans="4:4" ht="13.5" customHeight="1" x14ac:dyDescent="0.3">
      <c r="D497" s="1"/>
    </row>
    <row r="498" spans="4:4" ht="13.5" customHeight="1" x14ac:dyDescent="0.3">
      <c r="D498" s="1"/>
    </row>
    <row r="499" spans="4:4" ht="13.5" customHeight="1" x14ac:dyDescent="0.3">
      <c r="D499" s="1"/>
    </row>
    <row r="500" spans="4:4" ht="13.5" customHeight="1" x14ac:dyDescent="0.3">
      <c r="D500" s="1"/>
    </row>
    <row r="501" spans="4:4" ht="13.5" customHeight="1" x14ac:dyDescent="0.3">
      <c r="D501" s="1"/>
    </row>
    <row r="502" spans="4:4" ht="13.5" customHeight="1" x14ac:dyDescent="0.3">
      <c r="D502" s="1"/>
    </row>
    <row r="503" spans="4:4" ht="13.5" customHeight="1" x14ac:dyDescent="0.3">
      <c r="D503" s="1"/>
    </row>
    <row r="504" spans="4:4" ht="13.5" customHeight="1" x14ac:dyDescent="0.3">
      <c r="D504" s="1"/>
    </row>
    <row r="505" spans="4:4" ht="13.5" customHeight="1" x14ac:dyDescent="0.3">
      <c r="D505" s="1"/>
    </row>
    <row r="506" spans="4:4" ht="13.5" customHeight="1" x14ac:dyDescent="0.3">
      <c r="D506" s="1"/>
    </row>
    <row r="507" spans="4:4" ht="13.5" customHeight="1" x14ac:dyDescent="0.3">
      <c r="D507" s="1"/>
    </row>
    <row r="508" spans="4:4" ht="13.5" customHeight="1" x14ac:dyDescent="0.3">
      <c r="D508" s="1"/>
    </row>
    <row r="509" spans="4:4" ht="13.5" customHeight="1" x14ac:dyDescent="0.3">
      <c r="D509" s="1"/>
    </row>
    <row r="510" spans="4:4" ht="13.5" customHeight="1" x14ac:dyDescent="0.3">
      <c r="D510" s="1"/>
    </row>
    <row r="511" spans="4:4" ht="13.5" customHeight="1" x14ac:dyDescent="0.3">
      <c r="D511" s="1"/>
    </row>
    <row r="512" spans="4:4" ht="13.5" customHeight="1" x14ac:dyDescent="0.3">
      <c r="D512" s="1"/>
    </row>
    <row r="513" spans="4:4" ht="13.5" customHeight="1" x14ac:dyDescent="0.3">
      <c r="D513" s="1"/>
    </row>
    <row r="514" spans="4:4" ht="13.5" customHeight="1" x14ac:dyDescent="0.3">
      <c r="D514" s="1"/>
    </row>
    <row r="515" spans="4:4" ht="13.5" customHeight="1" x14ac:dyDescent="0.3">
      <c r="D515" s="1"/>
    </row>
    <row r="516" spans="4:4" ht="13.5" customHeight="1" x14ac:dyDescent="0.3">
      <c r="D516" s="1"/>
    </row>
    <row r="517" spans="4:4" ht="13.5" customHeight="1" x14ac:dyDescent="0.3">
      <c r="D517" s="1"/>
    </row>
    <row r="518" spans="4:4" ht="13.5" customHeight="1" x14ac:dyDescent="0.3">
      <c r="D518" s="1"/>
    </row>
    <row r="519" spans="4:4" ht="13.5" customHeight="1" x14ac:dyDescent="0.3">
      <c r="D519" s="1"/>
    </row>
    <row r="520" spans="4:4" ht="13.5" customHeight="1" x14ac:dyDescent="0.3">
      <c r="D520" s="1"/>
    </row>
    <row r="521" spans="4:4" ht="13.5" customHeight="1" x14ac:dyDescent="0.3">
      <c r="D521" s="1"/>
    </row>
    <row r="522" spans="4:4" ht="13.5" customHeight="1" x14ac:dyDescent="0.3">
      <c r="D522" s="1"/>
    </row>
    <row r="523" spans="4:4" ht="13.5" customHeight="1" x14ac:dyDescent="0.3">
      <c r="D523" s="1"/>
    </row>
    <row r="524" spans="4:4" ht="13.5" customHeight="1" x14ac:dyDescent="0.3">
      <c r="D524" s="1"/>
    </row>
    <row r="525" spans="4:4" ht="13.5" customHeight="1" x14ac:dyDescent="0.3">
      <c r="D525" s="1"/>
    </row>
    <row r="526" spans="4:4" ht="13.5" customHeight="1" x14ac:dyDescent="0.3">
      <c r="D526" s="1"/>
    </row>
    <row r="527" spans="4:4" ht="13.5" customHeight="1" x14ac:dyDescent="0.3">
      <c r="D527" s="1"/>
    </row>
    <row r="528" spans="4:4" ht="13.5" customHeight="1" x14ac:dyDescent="0.3">
      <c r="D528" s="1"/>
    </row>
    <row r="529" spans="4:4" ht="13.5" customHeight="1" x14ac:dyDescent="0.3">
      <c r="D529" s="1"/>
    </row>
    <row r="530" spans="4:4" ht="13.5" customHeight="1" x14ac:dyDescent="0.3">
      <c r="D530" s="1"/>
    </row>
    <row r="531" spans="4:4" ht="13.5" customHeight="1" x14ac:dyDescent="0.3">
      <c r="D531" s="1"/>
    </row>
    <row r="532" spans="4:4" ht="13.5" customHeight="1" x14ac:dyDescent="0.3">
      <c r="D532" s="1"/>
    </row>
    <row r="533" spans="4:4" ht="13.5" customHeight="1" x14ac:dyDescent="0.3">
      <c r="D533" s="1"/>
    </row>
    <row r="534" spans="4:4" ht="13.5" customHeight="1" x14ac:dyDescent="0.3">
      <c r="D534" s="1"/>
    </row>
    <row r="535" spans="4:4" ht="13.5" customHeight="1" x14ac:dyDescent="0.3">
      <c r="D535" s="1"/>
    </row>
    <row r="536" spans="4:4" ht="13.5" customHeight="1" x14ac:dyDescent="0.3">
      <c r="D536" s="1"/>
    </row>
    <row r="537" spans="4:4" ht="13.5" customHeight="1" x14ac:dyDescent="0.3">
      <c r="D537" s="1"/>
    </row>
    <row r="538" spans="4:4" ht="13.5" customHeight="1" x14ac:dyDescent="0.3">
      <c r="D538" s="1"/>
    </row>
    <row r="539" spans="4:4" ht="13.5" customHeight="1" x14ac:dyDescent="0.3">
      <c r="D539" s="1"/>
    </row>
    <row r="540" spans="4:4" ht="13.5" customHeight="1" x14ac:dyDescent="0.3">
      <c r="D540" s="1"/>
    </row>
    <row r="541" spans="4:4" ht="13.5" customHeight="1" x14ac:dyDescent="0.3">
      <c r="D541" s="1"/>
    </row>
    <row r="542" spans="4:4" ht="13.5" customHeight="1" x14ac:dyDescent="0.3">
      <c r="D542" s="1"/>
    </row>
    <row r="543" spans="4:4" ht="13.5" customHeight="1" x14ac:dyDescent="0.3">
      <c r="D543" s="1"/>
    </row>
    <row r="544" spans="4:4" ht="13.5" customHeight="1" x14ac:dyDescent="0.3">
      <c r="D544" s="1"/>
    </row>
    <row r="545" spans="4:4" ht="13.5" customHeight="1" x14ac:dyDescent="0.3">
      <c r="D545" s="1"/>
    </row>
    <row r="546" spans="4:4" ht="13.5" customHeight="1" x14ac:dyDescent="0.3">
      <c r="D546" s="1"/>
    </row>
    <row r="547" spans="4:4" ht="13.5" customHeight="1" x14ac:dyDescent="0.3">
      <c r="D547" s="1"/>
    </row>
    <row r="548" spans="4:4" ht="13.5" customHeight="1" x14ac:dyDescent="0.3">
      <c r="D548" s="1"/>
    </row>
    <row r="549" spans="4:4" ht="13.5" customHeight="1" x14ac:dyDescent="0.3">
      <c r="D549" s="1"/>
    </row>
    <row r="550" spans="4:4" ht="13.5" customHeight="1" x14ac:dyDescent="0.3">
      <c r="D550" s="1"/>
    </row>
    <row r="551" spans="4:4" ht="13.5" customHeight="1" x14ac:dyDescent="0.3">
      <c r="D551" s="1"/>
    </row>
    <row r="552" spans="4:4" ht="13.5" customHeight="1" x14ac:dyDescent="0.3">
      <c r="D552" s="1"/>
    </row>
    <row r="553" spans="4:4" ht="13.5" customHeight="1" x14ac:dyDescent="0.3">
      <c r="D553" s="1"/>
    </row>
    <row r="554" spans="4:4" ht="13.5" customHeight="1" x14ac:dyDescent="0.3">
      <c r="D554" s="1"/>
    </row>
    <row r="555" spans="4:4" ht="13.5" customHeight="1" x14ac:dyDescent="0.3">
      <c r="D555" s="1"/>
    </row>
    <row r="556" spans="4:4" ht="13.5" customHeight="1" x14ac:dyDescent="0.3">
      <c r="D556" s="1"/>
    </row>
    <row r="557" spans="4:4" ht="13.5" customHeight="1" x14ac:dyDescent="0.3">
      <c r="D557" s="1"/>
    </row>
    <row r="558" spans="4:4" ht="13.5" customHeight="1" x14ac:dyDescent="0.3">
      <c r="D558" s="1"/>
    </row>
    <row r="559" spans="4:4" ht="13.5" customHeight="1" x14ac:dyDescent="0.3">
      <c r="D559" s="1"/>
    </row>
    <row r="560" spans="4:4" ht="13.5" customHeight="1" x14ac:dyDescent="0.3">
      <c r="D560" s="1"/>
    </row>
    <row r="561" spans="4:4" ht="13.5" customHeight="1" x14ac:dyDescent="0.3">
      <c r="D561" s="1"/>
    </row>
    <row r="562" spans="4:4" ht="13.5" customHeight="1" x14ac:dyDescent="0.3">
      <c r="D562" s="1"/>
    </row>
    <row r="563" spans="4:4" ht="13.5" customHeight="1" x14ac:dyDescent="0.3">
      <c r="D563" s="1"/>
    </row>
    <row r="564" spans="4:4" ht="13.5" customHeight="1" x14ac:dyDescent="0.3">
      <c r="D564" s="1"/>
    </row>
    <row r="565" spans="4:4" ht="13.5" customHeight="1" x14ac:dyDescent="0.3">
      <c r="D565" s="1"/>
    </row>
    <row r="566" spans="4:4" ht="13.5" customHeight="1" x14ac:dyDescent="0.3">
      <c r="D566" s="1"/>
    </row>
    <row r="567" spans="4:4" ht="13.5" customHeight="1" x14ac:dyDescent="0.3">
      <c r="D567" s="1"/>
    </row>
    <row r="568" spans="4:4" ht="13.5" customHeight="1" x14ac:dyDescent="0.3">
      <c r="D568" s="1"/>
    </row>
    <row r="569" spans="4:4" ht="13.5" customHeight="1" x14ac:dyDescent="0.3">
      <c r="D569" s="1"/>
    </row>
    <row r="570" spans="4:4" ht="13.5" customHeight="1" x14ac:dyDescent="0.3">
      <c r="D570" s="1"/>
    </row>
    <row r="571" spans="4:4" ht="13.5" customHeight="1" x14ac:dyDescent="0.3">
      <c r="D571" s="1"/>
    </row>
    <row r="572" spans="4:4" ht="13.5" customHeight="1" x14ac:dyDescent="0.3">
      <c r="D572" s="1"/>
    </row>
    <row r="573" spans="4:4" ht="13.5" customHeight="1" x14ac:dyDescent="0.3">
      <c r="D573" s="1"/>
    </row>
    <row r="574" spans="4:4" ht="13.5" customHeight="1" x14ac:dyDescent="0.3">
      <c r="D574" s="1"/>
    </row>
    <row r="575" spans="4:4" ht="13.5" customHeight="1" x14ac:dyDescent="0.3">
      <c r="D575" s="1"/>
    </row>
    <row r="576" spans="4:4" ht="13.5" customHeight="1" x14ac:dyDescent="0.3">
      <c r="D576" s="1"/>
    </row>
    <row r="577" spans="4:4" ht="13.5" customHeight="1" x14ac:dyDescent="0.3">
      <c r="D577" s="1"/>
    </row>
    <row r="578" spans="4:4" ht="13.5" customHeight="1" x14ac:dyDescent="0.3">
      <c r="D578" s="1"/>
    </row>
    <row r="579" spans="4:4" ht="13.5" customHeight="1" x14ac:dyDescent="0.3">
      <c r="D579" s="1"/>
    </row>
    <row r="580" spans="4:4" ht="13.5" customHeight="1" x14ac:dyDescent="0.3">
      <c r="D580" s="1"/>
    </row>
    <row r="581" spans="4:4" ht="13.5" customHeight="1" x14ac:dyDescent="0.3">
      <c r="D581" s="1"/>
    </row>
    <row r="582" spans="4:4" ht="13.5" customHeight="1" x14ac:dyDescent="0.3">
      <c r="D582" s="1"/>
    </row>
    <row r="583" spans="4:4" ht="13.5" customHeight="1" x14ac:dyDescent="0.3">
      <c r="D583" s="1"/>
    </row>
    <row r="584" spans="4:4" ht="13.5" customHeight="1" x14ac:dyDescent="0.3">
      <c r="D584" s="1"/>
    </row>
    <row r="585" spans="4:4" ht="13.5" customHeight="1" x14ac:dyDescent="0.3">
      <c r="D585" s="1"/>
    </row>
    <row r="586" spans="4:4" ht="13.5" customHeight="1" x14ac:dyDescent="0.3">
      <c r="D586" s="1"/>
    </row>
    <row r="587" spans="4:4" ht="13.5" customHeight="1" x14ac:dyDescent="0.3">
      <c r="D587" s="1"/>
    </row>
    <row r="588" spans="4:4" ht="13.5" customHeight="1" x14ac:dyDescent="0.3">
      <c r="D588" s="1"/>
    </row>
    <row r="589" spans="4:4" ht="13.5" customHeight="1" x14ac:dyDescent="0.3">
      <c r="D589" s="1"/>
    </row>
    <row r="590" spans="4:4" ht="13.5" customHeight="1" x14ac:dyDescent="0.3">
      <c r="D590" s="1"/>
    </row>
    <row r="591" spans="4:4" ht="13.5" customHeight="1" x14ac:dyDescent="0.3">
      <c r="D591" s="1"/>
    </row>
    <row r="592" spans="4:4" ht="13.5" customHeight="1" x14ac:dyDescent="0.3">
      <c r="D592" s="1"/>
    </row>
    <row r="593" spans="4:4" ht="13.5" customHeight="1" x14ac:dyDescent="0.3">
      <c r="D593" s="1"/>
    </row>
    <row r="594" spans="4:4" ht="13.5" customHeight="1" x14ac:dyDescent="0.3">
      <c r="D594" s="1"/>
    </row>
    <row r="595" spans="4:4" ht="13.5" customHeight="1" x14ac:dyDescent="0.3">
      <c r="D595" s="1"/>
    </row>
    <row r="596" spans="4:4" ht="13.5" customHeight="1" x14ac:dyDescent="0.3">
      <c r="D596" s="1"/>
    </row>
    <row r="597" spans="4:4" ht="13.5" customHeight="1" x14ac:dyDescent="0.3">
      <c r="D597" s="1"/>
    </row>
    <row r="598" spans="4:4" ht="13.5" customHeight="1" x14ac:dyDescent="0.3">
      <c r="D598" s="1"/>
    </row>
    <row r="599" spans="4:4" ht="13.5" customHeight="1" x14ac:dyDescent="0.3">
      <c r="D599" s="1"/>
    </row>
    <row r="600" spans="4:4" ht="13.5" customHeight="1" x14ac:dyDescent="0.3">
      <c r="D600" s="1"/>
    </row>
    <row r="601" spans="4:4" ht="13.5" customHeight="1" x14ac:dyDescent="0.3">
      <c r="D601" s="1"/>
    </row>
    <row r="602" spans="4:4" ht="13.5" customHeight="1" x14ac:dyDescent="0.3">
      <c r="D602" s="1"/>
    </row>
    <row r="603" spans="4:4" ht="13.5" customHeight="1" x14ac:dyDescent="0.3">
      <c r="D603" s="1"/>
    </row>
    <row r="604" spans="4:4" ht="13.5" customHeight="1" x14ac:dyDescent="0.3">
      <c r="D604" s="1"/>
    </row>
    <row r="605" spans="4:4" ht="13.5" customHeight="1" x14ac:dyDescent="0.3">
      <c r="D605" s="1"/>
    </row>
    <row r="606" spans="4:4" ht="13.5" customHeight="1" x14ac:dyDescent="0.3">
      <c r="D606" s="1"/>
    </row>
    <row r="607" spans="4:4" ht="13.5" customHeight="1" x14ac:dyDescent="0.3">
      <c r="D607" s="1"/>
    </row>
    <row r="608" spans="4:4" ht="13.5" customHeight="1" x14ac:dyDescent="0.3">
      <c r="D608" s="1"/>
    </row>
    <row r="609" spans="4:4" ht="13.5" customHeight="1" x14ac:dyDescent="0.3">
      <c r="D609" s="1"/>
    </row>
    <row r="610" spans="4:4" ht="13.5" customHeight="1" x14ac:dyDescent="0.3">
      <c r="D610" s="1"/>
    </row>
    <row r="611" spans="4:4" ht="13.5" customHeight="1" x14ac:dyDescent="0.3">
      <c r="D611" s="1"/>
    </row>
    <row r="612" spans="4:4" ht="13.5" customHeight="1" x14ac:dyDescent="0.3">
      <c r="D612" s="1"/>
    </row>
    <row r="613" spans="4:4" ht="13.5" customHeight="1" x14ac:dyDescent="0.3">
      <c r="D613" s="1"/>
    </row>
    <row r="614" spans="4:4" ht="13.5" customHeight="1" x14ac:dyDescent="0.3">
      <c r="D614" s="1"/>
    </row>
    <row r="615" spans="4:4" ht="13.5" customHeight="1" x14ac:dyDescent="0.3">
      <c r="D615" s="1"/>
    </row>
    <row r="616" spans="4:4" ht="13.5" customHeight="1" x14ac:dyDescent="0.3">
      <c r="D616" s="1"/>
    </row>
    <row r="617" spans="4:4" ht="13.5" customHeight="1" x14ac:dyDescent="0.3">
      <c r="D617" s="1"/>
    </row>
    <row r="618" spans="4:4" ht="13.5" customHeight="1" x14ac:dyDescent="0.3">
      <c r="D618" s="1"/>
    </row>
    <row r="619" spans="4:4" ht="13.5" customHeight="1" x14ac:dyDescent="0.3">
      <c r="D619" s="1"/>
    </row>
    <row r="620" spans="4:4" ht="13.5" customHeight="1" x14ac:dyDescent="0.3">
      <c r="D620" s="1"/>
    </row>
    <row r="621" spans="4:4" ht="13.5" customHeight="1" x14ac:dyDescent="0.3">
      <c r="D621" s="1"/>
    </row>
    <row r="622" spans="4:4" ht="13.5" customHeight="1" x14ac:dyDescent="0.3">
      <c r="D622" s="1"/>
    </row>
    <row r="623" spans="4:4" ht="13.5" customHeight="1" x14ac:dyDescent="0.3">
      <c r="D623" s="1"/>
    </row>
    <row r="624" spans="4:4" ht="13.5" customHeight="1" x14ac:dyDescent="0.3">
      <c r="D624" s="1"/>
    </row>
    <row r="625" spans="4:4" ht="13.5" customHeight="1" x14ac:dyDescent="0.3">
      <c r="D625" s="1"/>
    </row>
    <row r="626" spans="4:4" ht="13.5" customHeight="1" x14ac:dyDescent="0.3">
      <c r="D626" s="1"/>
    </row>
    <row r="627" spans="4:4" ht="13.5" customHeight="1" x14ac:dyDescent="0.3">
      <c r="D627" s="1"/>
    </row>
    <row r="628" spans="4:4" ht="13.5" customHeight="1" x14ac:dyDescent="0.3">
      <c r="D628" s="1"/>
    </row>
    <row r="629" spans="4:4" ht="13.5" customHeight="1" x14ac:dyDescent="0.3">
      <c r="D629" s="1"/>
    </row>
    <row r="630" spans="4:4" ht="13.5" customHeight="1" x14ac:dyDescent="0.3">
      <c r="D630" s="1"/>
    </row>
    <row r="631" spans="4:4" ht="13.5" customHeight="1" x14ac:dyDescent="0.3">
      <c r="D631" s="1"/>
    </row>
    <row r="632" spans="4:4" ht="13.5" customHeight="1" x14ac:dyDescent="0.3">
      <c r="D632" s="1"/>
    </row>
    <row r="633" spans="4:4" ht="13.5" customHeight="1" x14ac:dyDescent="0.3">
      <c r="D633" s="1"/>
    </row>
    <row r="634" spans="4:4" ht="13.5" customHeight="1" x14ac:dyDescent="0.3">
      <c r="D634" s="1"/>
    </row>
    <row r="635" spans="4:4" ht="13.5" customHeight="1" x14ac:dyDescent="0.3">
      <c r="D635" s="1"/>
    </row>
    <row r="636" spans="4:4" ht="13.5" customHeight="1" x14ac:dyDescent="0.3">
      <c r="D636" s="1"/>
    </row>
    <row r="637" spans="4:4" ht="13.5" customHeight="1" x14ac:dyDescent="0.3">
      <c r="D637" s="1"/>
    </row>
    <row r="638" spans="4:4" ht="13.5" customHeight="1" x14ac:dyDescent="0.3">
      <c r="D638" s="1"/>
    </row>
    <row r="639" spans="4:4" ht="13.5" customHeight="1" x14ac:dyDescent="0.3">
      <c r="D639" s="1"/>
    </row>
    <row r="640" spans="4:4" ht="13.5" customHeight="1" x14ac:dyDescent="0.3">
      <c r="D640" s="1"/>
    </row>
    <row r="641" spans="4:4" ht="13.5" customHeight="1" x14ac:dyDescent="0.3">
      <c r="D641" s="1"/>
    </row>
    <row r="642" spans="4:4" ht="13.5" customHeight="1" x14ac:dyDescent="0.3">
      <c r="D642" s="1"/>
    </row>
    <row r="643" spans="4:4" ht="13.5" customHeight="1" x14ac:dyDescent="0.3">
      <c r="D643" s="1"/>
    </row>
    <row r="644" spans="4:4" ht="13.5" customHeight="1" x14ac:dyDescent="0.3">
      <c r="D644" s="1"/>
    </row>
    <row r="645" spans="4:4" ht="13.5" customHeight="1" x14ac:dyDescent="0.3">
      <c r="D645" s="1"/>
    </row>
    <row r="646" spans="4:4" ht="13.5" customHeight="1" x14ac:dyDescent="0.3">
      <c r="D646" s="1"/>
    </row>
    <row r="647" spans="4:4" ht="13.5" customHeight="1" x14ac:dyDescent="0.3">
      <c r="D647" s="1"/>
    </row>
    <row r="648" spans="4:4" ht="13.5" customHeight="1" x14ac:dyDescent="0.3">
      <c r="D648" s="1"/>
    </row>
    <row r="649" spans="4:4" ht="13.5" customHeight="1" x14ac:dyDescent="0.3">
      <c r="D649" s="1"/>
    </row>
    <row r="650" spans="4:4" ht="13.5" customHeight="1" x14ac:dyDescent="0.3">
      <c r="D650" s="1"/>
    </row>
    <row r="651" spans="4:4" ht="13.5" customHeight="1" x14ac:dyDescent="0.3">
      <c r="D651" s="1"/>
    </row>
    <row r="652" spans="4:4" ht="13.5" customHeight="1" x14ac:dyDescent="0.3">
      <c r="D652" s="1"/>
    </row>
    <row r="653" spans="4:4" ht="13.5" customHeight="1" x14ac:dyDescent="0.3">
      <c r="D653" s="1"/>
    </row>
    <row r="654" spans="4:4" ht="13.5" customHeight="1" x14ac:dyDescent="0.3">
      <c r="D654" s="1"/>
    </row>
    <row r="655" spans="4:4" ht="13.5" customHeight="1" x14ac:dyDescent="0.3">
      <c r="D655" s="1"/>
    </row>
    <row r="656" spans="4:4" ht="13.5" customHeight="1" x14ac:dyDescent="0.3">
      <c r="D656" s="1"/>
    </row>
    <row r="657" spans="4:4" ht="13.5" customHeight="1" x14ac:dyDescent="0.3">
      <c r="D657" s="1"/>
    </row>
    <row r="658" spans="4:4" ht="13.5" customHeight="1" x14ac:dyDescent="0.3">
      <c r="D658" s="1"/>
    </row>
    <row r="659" spans="4:4" ht="13.5" customHeight="1" x14ac:dyDescent="0.3">
      <c r="D659" s="1"/>
    </row>
    <row r="660" spans="4:4" ht="13.5" customHeight="1" x14ac:dyDescent="0.3">
      <c r="D660" s="1"/>
    </row>
    <row r="661" spans="4:4" ht="13.5" customHeight="1" x14ac:dyDescent="0.3">
      <c r="D661" s="1"/>
    </row>
    <row r="662" spans="4:4" ht="13.5" customHeight="1" x14ac:dyDescent="0.3">
      <c r="D662" s="1"/>
    </row>
    <row r="663" spans="4:4" ht="13.5" customHeight="1" x14ac:dyDescent="0.3">
      <c r="D663" s="1"/>
    </row>
    <row r="664" spans="4:4" ht="13.5" customHeight="1" x14ac:dyDescent="0.3">
      <c r="D664" s="1"/>
    </row>
    <row r="665" spans="4:4" ht="13.5" customHeight="1" x14ac:dyDescent="0.3">
      <c r="D665" s="1"/>
    </row>
    <row r="666" spans="4:4" ht="13.5" customHeight="1" x14ac:dyDescent="0.3">
      <c r="D666" s="1"/>
    </row>
    <row r="667" spans="4:4" ht="13.5" customHeight="1" x14ac:dyDescent="0.3">
      <c r="D667" s="1"/>
    </row>
    <row r="668" spans="4:4" ht="13.5" customHeight="1" x14ac:dyDescent="0.3">
      <c r="D668" s="1"/>
    </row>
    <row r="669" spans="4:4" ht="13.5" customHeight="1" x14ac:dyDescent="0.3">
      <c r="D669" s="1"/>
    </row>
    <row r="670" spans="4:4" ht="13.5" customHeight="1" x14ac:dyDescent="0.3">
      <c r="D670" s="1"/>
    </row>
    <row r="671" spans="4:4" ht="13.5" customHeight="1" x14ac:dyDescent="0.3">
      <c r="D671" s="1"/>
    </row>
    <row r="672" spans="4:4" ht="13.5" customHeight="1" x14ac:dyDescent="0.3">
      <c r="D672" s="1"/>
    </row>
    <row r="673" spans="4:4" ht="13.5" customHeight="1" x14ac:dyDescent="0.3">
      <c r="D673" s="1"/>
    </row>
    <row r="674" spans="4:4" ht="13.5" customHeight="1" x14ac:dyDescent="0.3">
      <c r="D674" s="1"/>
    </row>
    <row r="675" spans="4:4" ht="13.5" customHeight="1" x14ac:dyDescent="0.3">
      <c r="D675" s="1"/>
    </row>
    <row r="676" spans="4:4" ht="13.5" customHeight="1" x14ac:dyDescent="0.3">
      <c r="D676" s="1"/>
    </row>
    <row r="677" spans="4:4" ht="13.5" customHeight="1" x14ac:dyDescent="0.3">
      <c r="D677" s="1"/>
    </row>
    <row r="678" spans="4:4" ht="13.5" customHeight="1" x14ac:dyDescent="0.3">
      <c r="D678" s="1"/>
    </row>
    <row r="679" spans="4:4" ht="13.5" customHeight="1" x14ac:dyDescent="0.3">
      <c r="D679" s="1"/>
    </row>
    <row r="680" spans="4:4" ht="13.5" customHeight="1" x14ac:dyDescent="0.3">
      <c r="D680" s="1"/>
    </row>
    <row r="681" spans="4:4" ht="13.5" customHeight="1" x14ac:dyDescent="0.3">
      <c r="D681" s="1"/>
    </row>
    <row r="682" spans="4:4" ht="13.5" customHeight="1" x14ac:dyDescent="0.3">
      <c r="D682" s="1"/>
    </row>
    <row r="683" spans="4:4" ht="13.5" customHeight="1" x14ac:dyDescent="0.3">
      <c r="D683" s="1"/>
    </row>
    <row r="684" spans="4:4" ht="13.5" customHeight="1" x14ac:dyDescent="0.3">
      <c r="D684" s="1"/>
    </row>
    <row r="685" spans="4:4" ht="13.5" customHeight="1" x14ac:dyDescent="0.3">
      <c r="D685" s="1"/>
    </row>
    <row r="686" spans="4:4" ht="13.5" customHeight="1" x14ac:dyDescent="0.3">
      <c r="D686" s="1"/>
    </row>
    <row r="687" spans="4:4" ht="13.5" customHeight="1" x14ac:dyDescent="0.3">
      <c r="D687" s="1"/>
    </row>
    <row r="688" spans="4:4" ht="13.5" customHeight="1" x14ac:dyDescent="0.3">
      <c r="D688" s="1"/>
    </row>
    <row r="689" spans="4:4" ht="13.5" customHeight="1" x14ac:dyDescent="0.3">
      <c r="D689" s="1"/>
    </row>
    <row r="690" spans="4:4" ht="13.5" customHeight="1" x14ac:dyDescent="0.3">
      <c r="D690" s="1"/>
    </row>
    <row r="691" spans="4:4" ht="13.5" customHeight="1" x14ac:dyDescent="0.3">
      <c r="D691" s="1"/>
    </row>
    <row r="692" spans="4:4" ht="13.5" customHeight="1" x14ac:dyDescent="0.3">
      <c r="D692" s="1"/>
    </row>
    <row r="693" spans="4:4" ht="13.5" customHeight="1" x14ac:dyDescent="0.3">
      <c r="D693" s="1"/>
    </row>
    <row r="694" spans="4:4" ht="13.5" customHeight="1" x14ac:dyDescent="0.3">
      <c r="D694" s="1"/>
    </row>
    <row r="695" spans="4:4" ht="13.5" customHeight="1" x14ac:dyDescent="0.3">
      <c r="D695" s="1"/>
    </row>
    <row r="696" spans="4:4" ht="13.5" customHeight="1" x14ac:dyDescent="0.3">
      <c r="D696" s="1"/>
    </row>
    <row r="697" spans="4:4" ht="13.5" customHeight="1" x14ac:dyDescent="0.3">
      <c r="D697" s="1"/>
    </row>
    <row r="698" spans="4:4" ht="13.5" customHeight="1" x14ac:dyDescent="0.3">
      <c r="D698" s="1"/>
    </row>
    <row r="699" spans="4:4" ht="13.5" customHeight="1" x14ac:dyDescent="0.3">
      <c r="D699" s="1"/>
    </row>
    <row r="700" spans="4:4" ht="13.5" customHeight="1" x14ac:dyDescent="0.3">
      <c r="D700" s="1"/>
    </row>
    <row r="701" spans="4:4" ht="13.5" customHeight="1" x14ac:dyDescent="0.3">
      <c r="D701" s="1"/>
    </row>
    <row r="702" spans="4:4" ht="13.5" customHeight="1" x14ac:dyDescent="0.3">
      <c r="D702" s="1"/>
    </row>
    <row r="703" spans="4:4" ht="13.5" customHeight="1" x14ac:dyDescent="0.3">
      <c r="D703" s="1"/>
    </row>
    <row r="704" spans="4:4" ht="13.5" customHeight="1" x14ac:dyDescent="0.3">
      <c r="D704" s="1"/>
    </row>
    <row r="705" spans="4:4" ht="13.5" customHeight="1" x14ac:dyDescent="0.3">
      <c r="D705" s="1"/>
    </row>
    <row r="706" spans="4:4" ht="13.5" customHeight="1" x14ac:dyDescent="0.3">
      <c r="D706" s="1"/>
    </row>
    <row r="707" spans="4:4" ht="13.5" customHeight="1" x14ac:dyDescent="0.3">
      <c r="D707" s="1"/>
    </row>
    <row r="708" spans="4:4" ht="13.5" customHeight="1" x14ac:dyDescent="0.3">
      <c r="D708" s="1"/>
    </row>
    <row r="709" spans="4:4" ht="13.5" customHeight="1" x14ac:dyDescent="0.3">
      <c r="D709" s="1"/>
    </row>
    <row r="710" spans="4:4" ht="13.5" customHeight="1" x14ac:dyDescent="0.3">
      <c r="D710" s="1"/>
    </row>
    <row r="711" spans="4:4" ht="13.5" customHeight="1" x14ac:dyDescent="0.3">
      <c r="D711" s="1"/>
    </row>
    <row r="712" spans="4:4" ht="13.5" customHeight="1" x14ac:dyDescent="0.3">
      <c r="D712" s="1"/>
    </row>
    <row r="713" spans="4:4" ht="13.5" customHeight="1" x14ac:dyDescent="0.3">
      <c r="D713" s="1"/>
    </row>
    <row r="714" spans="4:4" ht="13.5" customHeight="1" x14ac:dyDescent="0.3">
      <c r="D714" s="1"/>
    </row>
    <row r="715" spans="4:4" ht="13.5" customHeight="1" x14ac:dyDescent="0.3">
      <c r="D715" s="1"/>
    </row>
    <row r="716" spans="4:4" ht="13.5" customHeight="1" x14ac:dyDescent="0.3">
      <c r="D716" s="1"/>
    </row>
    <row r="717" spans="4:4" ht="13.5" customHeight="1" x14ac:dyDescent="0.3">
      <c r="D717" s="1"/>
    </row>
    <row r="718" spans="4:4" ht="13.5" customHeight="1" x14ac:dyDescent="0.3">
      <c r="D718" s="1"/>
    </row>
    <row r="719" spans="4:4" ht="13.5" customHeight="1" x14ac:dyDescent="0.3">
      <c r="D719" s="1"/>
    </row>
    <row r="720" spans="4:4" ht="13.5" customHeight="1" x14ac:dyDescent="0.3">
      <c r="D720" s="1"/>
    </row>
    <row r="721" spans="4:4" ht="13.5" customHeight="1" x14ac:dyDescent="0.3">
      <c r="D721" s="1"/>
    </row>
    <row r="722" spans="4:4" ht="13.5" customHeight="1" x14ac:dyDescent="0.3">
      <c r="D722" s="1"/>
    </row>
    <row r="723" spans="4:4" ht="13.5" customHeight="1" x14ac:dyDescent="0.3">
      <c r="D723" s="1"/>
    </row>
    <row r="724" spans="4:4" ht="13.5" customHeight="1" x14ac:dyDescent="0.3">
      <c r="D724" s="1"/>
    </row>
    <row r="725" spans="4:4" ht="13.5" customHeight="1" x14ac:dyDescent="0.3">
      <c r="D725" s="1"/>
    </row>
    <row r="726" spans="4:4" ht="13.5" customHeight="1" x14ac:dyDescent="0.3">
      <c r="D726" s="1"/>
    </row>
    <row r="727" spans="4:4" ht="13.5" customHeight="1" x14ac:dyDescent="0.3">
      <c r="D727" s="1"/>
    </row>
    <row r="728" spans="4:4" ht="13.5" customHeight="1" x14ac:dyDescent="0.3">
      <c r="D728" s="1"/>
    </row>
    <row r="729" spans="4:4" ht="13.5" customHeight="1" x14ac:dyDescent="0.3">
      <c r="D729" s="1"/>
    </row>
    <row r="730" spans="4:4" ht="13.5" customHeight="1" x14ac:dyDescent="0.3">
      <c r="D730" s="1"/>
    </row>
    <row r="731" spans="4:4" ht="13.5" customHeight="1" x14ac:dyDescent="0.3">
      <c r="D731" s="1"/>
    </row>
    <row r="732" spans="4:4" ht="13.5" customHeight="1" x14ac:dyDescent="0.3">
      <c r="D732" s="1"/>
    </row>
    <row r="733" spans="4:4" ht="13.5" customHeight="1" x14ac:dyDescent="0.3">
      <c r="D733" s="1"/>
    </row>
    <row r="734" spans="4:4" ht="13.5" customHeight="1" x14ac:dyDescent="0.3">
      <c r="D734" s="1"/>
    </row>
    <row r="735" spans="4:4" ht="13.5" customHeight="1" x14ac:dyDescent="0.3">
      <c r="D735" s="1"/>
    </row>
    <row r="736" spans="4:4" ht="13.5" customHeight="1" x14ac:dyDescent="0.3">
      <c r="D736" s="1"/>
    </row>
    <row r="737" spans="4:4" ht="13.5" customHeight="1" x14ac:dyDescent="0.3">
      <c r="D737" s="1"/>
    </row>
    <row r="738" spans="4:4" ht="13.5" customHeight="1" x14ac:dyDescent="0.3">
      <c r="D738" s="1"/>
    </row>
    <row r="739" spans="4:4" ht="13.5" customHeight="1" x14ac:dyDescent="0.3">
      <c r="D739" s="1"/>
    </row>
    <row r="740" spans="4:4" ht="13.5" customHeight="1" x14ac:dyDescent="0.3">
      <c r="D740" s="1"/>
    </row>
    <row r="741" spans="4:4" ht="13.5" customHeight="1" x14ac:dyDescent="0.3">
      <c r="D741" s="1"/>
    </row>
    <row r="742" spans="4:4" ht="13.5" customHeight="1" x14ac:dyDescent="0.3">
      <c r="D742" s="1"/>
    </row>
    <row r="743" spans="4:4" ht="13.5" customHeight="1" x14ac:dyDescent="0.3">
      <c r="D743" s="1"/>
    </row>
    <row r="744" spans="4:4" ht="13.5" customHeight="1" x14ac:dyDescent="0.3">
      <c r="D744" s="1"/>
    </row>
    <row r="745" spans="4:4" ht="13.5" customHeight="1" x14ac:dyDescent="0.3">
      <c r="D745" s="1"/>
    </row>
    <row r="746" spans="4:4" ht="13.5" customHeight="1" x14ac:dyDescent="0.3">
      <c r="D746" s="1"/>
    </row>
    <row r="747" spans="4:4" ht="13.5" customHeight="1" x14ac:dyDescent="0.3">
      <c r="D747" s="1"/>
    </row>
    <row r="748" spans="4:4" ht="13.5" customHeight="1" x14ac:dyDescent="0.3">
      <c r="D748" s="1"/>
    </row>
    <row r="749" spans="4:4" ht="13.5" customHeight="1" x14ac:dyDescent="0.3">
      <c r="D749" s="1"/>
    </row>
    <row r="750" spans="4:4" ht="13.5" customHeight="1" x14ac:dyDescent="0.3">
      <c r="D750" s="1"/>
    </row>
    <row r="751" spans="4:4" ht="13.5" customHeight="1" x14ac:dyDescent="0.3">
      <c r="D751" s="1"/>
    </row>
    <row r="752" spans="4:4" ht="13.5" customHeight="1" x14ac:dyDescent="0.3">
      <c r="D752" s="1"/>
    </row>
    <row r="753" spans="4:4" ht="13.5" customHeight="1" x14ac:dyDescent="0.3">
      <c r="D753" s="1"/>
    </row>
    <row r="754" spans="4:4" ht="13.5" customHeight="1" x14ac:dyDescent="0.3">
      <c r="D754" s="1"/>
    </row>
    <row r="755" spans="4:4" ht="13.5" customHeight="1" x14ac:dyDescent="0.3">
      <c r="D755" s="1"/>
    </row>
    <row r="756" spans="4:4" ht="13.5" customHeight="1" x14ac:dyDescent="0.3">
      <c r="D756" s="1"/>
    </row>
    <row r="757" spans="4:4" ht="13.5" customHeight="1" x14ac:dyDescent="0.3">
      <c r="D757" s="1"/>
    </row>
    <row r="758" spans="4:4" ht="13.5" customHeight="1" x14ac:dyDescent="0.3">
      <c r="D758" s="1"/>
    </row>
    <row r="759" spans="4:4" ht="13.5" customHeight="1" x14ac:dyDescent="0.3">
      <c r="D759" s="1"/>
    </row>
    <row r="760" spans="4:4" ht="13.5" customHeight="1" x14ac:dyDescent="0.3">
      <c r="D760" s="1"/>
    </row>
    <row r="761" spans="4:4" ht="13.5" customHeight="1" x14ac:dyDescent="0.3">
      <c r="D761" s="1"/>
    </row>
    <row r="762" spans="4:4" ht="13.5" customHeight="1" x14ac:dyDescent="0.3">
      <c r="D762" s="1"/>
    </row>
    <row r="763" spans="4:4" ht="13.5" customHeight="1" x14ac:dyDescent="0.3">
      <c r="D763" s="1"/>
    </row>
    <row r="764" spans="4:4" ht="13.5" customHeight="1" x14ac:dyDescent="0.3">
      <c r="D764" s="1"/>
    </row>
    <row r="765" spans="4:4" ht="13.5" customHeight="1" x14ac:dyDescent="0.3">
      <c r="D765" s="1"/>
    </row>
    <row r="766" spans="4:4" ht="13.5" customHeight="1" x14ac:dyDescent="0.3">
      <c r="D766" s="1"/>
    </row>
    <row r="767" spans="4:4" ht="13.5" customHeight="1" x14ac:dyDescent="0.3">
      <c r="D767" s="1"/>
    </row>
    <row r="768" spans="4:4" ht="13.5" customHeight="1" x14ac:dyDescent="0.3">
      <c r="D768" s="1"/>
    </row>
    <row r="769" spans="4:4" ht="13.5" customHeight="1" x14ac:dyDescent="0.3">
      <c r="D769" s="1"/>
    </row>
    <row r="770" spans="4:4" ht="13.5" customHeight="1" x14ac:dyDescent="0.3">
      <c r="D770" s="1"/>
    </row>
    <row r="771" spans="4:4" ht="13.5" customHeight="1" x14ac:dyDescent="0.3">
      <c r="D771" s="1"/>
    </row>
    <row r="772" spans="4:4" ht="13.5" customHeight="1" x14ac:dyDescent="0.3">
      <c r="D772" s="1"/>
    </row>
    <row r="773" spans="4:4" ht="13.5" customHeight="1" x14ac:dyDescent="0.3">
      <c r="D773" s="1"/>
    </row>
    <row r="774" spans="4:4" ht="13.5" customHeight="1" x14ac:dyDescent="0.3">
      <c r="D774" s="1"/>
    </row>
    <row r="775" spans="4:4" ht="13.5" customHeight="1" x14ac:dyDescent="0.3">
      <c r="D775" s="1"/>
    </row>
    <row r="776" spans="4:4" ht="13.5" customHeight="1" x14ac:dyDescent="0.3">
      <c r="D776" s="1"/>
    </row>
    <row r="777" spans="4:4" ht="13.5" customHeight="1" x14ac:dyDescent="0.3">
      <c r="D777" s="1"/>
    </row>
    <row r="778" spans="4:4" ht="13.5" customHeight="1" x14ac:dyDescent="0.3">
      <c r="D778" s="1"/>
    </row>
    <row r="779" spans="4:4" ht="13.5" customHeight="1" x14ac:dyDescent="0.3">
      <c r="D779" s="1"/>
    </row>
    <row r="780" spans="4:4" ht="13.5" customHeight="1" x14ac:dyDescent="0.3">
      <c r="D780" s="1"/>
    </row>
    <row r="781" spans="4:4" ht="13.5" customHeight="1" x14ac:dyDescent="0.3">
      <c r="D781" s="1"/>
    </row>
    <row r="782" spans="4:4" ht="13.5" customHeight="1" x14ac:dyDescent="0.3">
      <c r="D782" s="1"/>
    </row>
    <row r="783" spans="4:4" ht="13.5" customHeight="1" x14ac:dyDescent="0.3">
      <c r="D783" s="1"/>
    </row>
    <row r="784" spans="4:4" ht="13.5" customHeight="1" x14ac:dyDescent="0.3">
      <c r="D784" s="1"/>
    </row>
    <row r="785" spans="4:4" ht="13.5" customHeight="1" x14ac:dyDescent="0.3">
      <c r="D785" s="1"/>
    </row>
    <row r="786" spans="4:4" ht="13.5" customHeight="1" x14ac:dyDescent="0.3">
      <c r="D786" s="1"/>
    </row>
    <row r="787" spans="4:4" ht="13.5" customHeight="1" x14ac:dyDescent="0.3">
      <c r="D787" s="1"/>
    </row>
    <row r="788" spans="4:4" ht="13.5" customHeight="1" x14ac:dyDescent="0.3">
      <c r="D788" s="1"/>
    </row>
    <row r="789" spans="4:4" ht="13.5" customHeight="1" x14ac:dyDescent="0.3">
      <c r="D789" s="1"/>
    </row>
    <row r="790" spans="4:4" ht="13.5" customHeight="1" x14ac:dyDescent="0.3">
      <c r="D790" s="1"/>
    </row>
    <row r="791" spans="4:4" ht="13.5" customHeight="1" x14ac:dyDescent="0.3">
      <c r="D791" s="1"/>
    </row>
    <row r="792" spans="4:4" ht="13.5" customHeight="1" x14ac:dyDescent="0.3">
      <c r="D792" s="1"/>
    </row>
    <row r="793" spans="4:4" ht="13.5" customHeight="1" x14ac:dyDescent="0.3">
      <c r="D793" s="1"/>
    </row>
    <row r="794" spans="4:4" ht="13.5" customHeight="1" x14ac:dyDescent="0.3">
      <c r="D794" s="1"/>
    </row>
    <row r="795" spans="4:4" ht="13.5" customHeight="1" x14ac:dyDescent="0.3">
      <c r="D795" s="1"/>
    </row>
    <row r="796" spans="4:4" ht="13.5" customHeight="1" x14ac:dyDescent="0.3">
      <c r="D796" s="1"/>
    </row>
    <row r="797" spans="4:4" ht="13.5" customHeight="1" x14ac:dyDescent="0.3">
      <c r="D797" s="1"/>
    </row>
    <row r="798" spans="4:4" ht="13.5" customHeight="1" x14ac:dyDescent="0.3">
      <c r="D798" s="1"/>
    </row>
    <row r="799" spans="4:4" ht="13.5" customHeight="1" x14ac:dyDescent="0.3">
      <c r="D799" s="1"/>
    </row>
    <row r="800" spans="4:4" ht="13.5" customHeight="1" x14ac:dyDescent="0.3">
      <c r="D800" s="1"/>
    </row>
    <row r="801" spans="4:4" ht="13.5" customHeight="1" x14ac:dyDescent="0.3">
      <c r="D801" s="1"/>
    </row>
    <row r="802" spans="4:4" ht="13.5" customHeight="1" x14ac:dyDescent="0.3">
      <c r="D802" s="1"/>
    </row>
    <row r="803" spans="4:4" ht="13.5" customHeight="1" x14ac:dyDescent="0.3">
      <c r="D803" s="1"/>
    </row>
    <row r="804" spans="4:4" ht="13.5" customHeight="1" x14ac:dyDescent="0.3">
      <c r="D804" s="1"/>
    </row>
    <row r="805" spans="4:4" ht="13.5" customHeight="1" x14ac:dyDescent="0.3">
      <c r="D805" s="1"/>
    </row>
    <row r="806" spans="4:4" ht="13.5" customHeight="1" x14ac:dyDescent="0.3">
      <c r="D806" s="1"/>
    </row>
    <row r="807" spans="4:4" ht="13.5" customHeight="1" x14ac:dyDescent="0.3">
      <c r="D807" s="1"/>
    </row>
    <row r="808" spans="4:4" ht="13.5" customHeight="1" x14ac:dyDescent="0.3">
      <c r="D808" s="1"/>
    </row>
    <row r="809" spans="4:4" ht="13.5" customHeight="1" x14ac:dyDescent="0.3">
      <c r="D809" s="1"/>
    </row>
    <row r="810" spans="4:4" ht="13.5" customHeight="1" x14ac:dyDescent="0.3">
      <c r="D810" s="1"/>
    </row>
    <row r="811" spans="4:4" ht="13.5" customHeight="1" x14ac:dyDescent="0.3">
      <c r="D811" s="1"/>
    </row>
    <row r="812" spans="4:4" ht="13.5" customHeight="1" x14ac:dyDescent="0.3">
      <c r="D812" s="1"/>
    </row>
    <row r="813" spans="4:4" ht="13.5" customHeight="1" x14ac:dyDescent="0.3">
      <c r="D813" s="1"/>
    </row>
    <row r="814" spans="4:4" ht="13.5" customHeight="1" x14ac:dyDescent="0.3">
      <c r="D814" s="1"/>
    </row>
    <row r="815" spans="4:4" ht="13.5" customHeight="1" x14ac:dyDescent="0.3">
      <c r="D815" s="1"/>
    </row>
    <row r="816" spans="4:4" ht="13.5" customHeight="1" x14ac:dyDescent="0.3">
      <c r="D816" s="1"/>
    </row>
    <row r="817" spans="4:4" ht="13.5" customHeight="1" x14ac:dyDescent="0.3">
      <c r="D817" s="1"/>
    </row>
    <row r="818" spans="4:4" ht="13.5" customHeight="1" x14ac:dyDescent="0.3">
      <c r="D818" s="1"/>
    </row>
    <row r="819" spans="4:4" ht="13.5" customHeight="1" x14ac:dyDescent="0.3">
      <c r="D819" s="1"/>
    </row>
    <row r="820" spans="4:4" ht="13.5" customHeight="1" x14ac:dyDescent="0.3">
      <c r="D820" s="1"/>
    </row>
    <row r="821" spans="4:4" ht="13.5" customHeight="1" x14ac:dyDescent="0.3">
      <c r="D821" s="1"/>
    </row>
    <row r="822" spans="4:4" ht="13.5" customHeight="1" x14ac:dyDescent="0.3">
      <c r="D822" s="1"/>
    </row>
    <row r="823" spans="4:4" ht="13.5" customHeight="1" x14ac:dyDescent="0.3">
      <c r="D823" s="1"/>
    </row>
    <row r="824" spans="4:4" ht="13.5" customHeight="1" x14ac:dyDescent="0.3">
      <c r="D824" s="1"/>
    </row>
    <row r="825" spans="4:4" ht="13.5" customHeight="1" x14ac:dyDescent="0.3">
      <c r="D825" s="1"/>
    </row>
    <row r="826" spans="4:4" ht="13.5" customHeight="1" x14ac:dyDescent="0.3">
      <c r="D826" s="1"/>
    </row>
    <row r="827" spans="4:4" ht="13.5" customHeight="1" x14ac:dyDescent="0.3">
      <c r="D827" s="1"/>
    </row>
    <row r="828" spans="4:4" ht="13.5" customHeight="1" x14ac:dyDescent="0.3">
      <c r="D828" s="1"/>
    </row>
    <row r="829" spans="4:4" ht="13.5" customHeight="1" x14ac:dyDescent="0.3">
      <c r="D829" s="1"/>
    </row>
    <row r="830" spans="4:4" ht="13.5" customHeight="1" x14ac:dyDescent="0.3">
      <c r="D830" s="1"/>
    </row>
    <row r="831" spans="4:4" ht="13.5" customHeight="1" x14ac:dyDescent="0.3">
      <c r="D831" s="1"/>
    </row>
    <row r="832" spans="4:4" ht="13.5" customHeight="1" x14ac:dyDescent="0.3">
      <c r="D832" s="1"/>
    </row>
    <row r="833" spans="4:4" ht="13.5" customHeight="1" x14ac:dyDescent="0.3">
      <c r="D833" s="1"/>
    </row>
    <row r="834" spans="4:4" ht="13.5" customHeight="1" x14ac:dyDescent="0.3">
      <c r="D834" s="1"/>
    </row>
    <row r="835" spans="4:4" ht="13.5" customHeight="1" x14ac:dyDescent="0.3">
      <c r="D835" s="1"/>
    </row>
    <row r="836" spans="4:4" ht="13.5" customHeight="1" x14ac:dyDescent="0.3">
      <c r="D836" s="1"/>
    </row>
    <row r="837" spans="4:4" ht="13.5" customHeight="1" x14ac:dyDescent="0.3">
      <c r="D837" s="1"/>
    </row>
    <row r="838" spans="4:4" ht="13.5" customHeight="1" x14ac:dyDescent="0.3">
      <c r="D838" s="1"/>
    </row>
    <row r="839" spans="4:4" ht="13.5" customHeight="1" x14ac:dyDescent="0.3">
      <c r="D839" s="1"/>
    </row>
    <row r="840" spans="4:4" ht="13.5" customHeight="1" x14ac:dyDescent="0.3">
      <c r="D840" s="1"/>
    </row>
    <row r="841" spans="4:4" ht="13.5" customHeight="1" x14ac:dyDescent="0.3">
      <c r="D841" s="1"/>
    </row>
    <row r="842" spans="4:4" ht="13.5" customHeight="1" x14ac:dyDescent="0.3">
      <c r="D842" s="1"/>
    </row>
    <row r="843" spans="4:4" ht="13.5" customHeight="1" x14ac:dyDescent="0.3">
      <c r="D843" s="1"/>
    </row>
    <row r="844" spans="4:4" ht="13.5" customHeight="1" x14ac:dyDescent="0.3">
      <c r="D844" s="1"/>
    </row>
    <row r="845" spans="4:4" ht="13.5" customHeight="1" x14ac:dyDescent="0.3">
      <c r="D845" s="1"/>
    </row>
    <row r="846" spans="4:4" ht="13.5" customHeight="1" x14ac:dyDescent="0.3">
      <c r="D846" s="1"/>
    </row>
    <row r="847" spans="4:4" ht="13.5" customHeight="1" x14ac:dyDescent="0.3">
      <c r="D847" s="1"/>
    </row>
    <row r="848" spans="4:4" ht="13.5" customHeight="1" x14ac:dyDescent="0.3">
      <c r="D848" s="1"/>
    </row>
    <row r="849" spans="4:4" ht="13.5" customHeight="1" x14ac:dyDescent="0.3">
      <c r="D849" s="1"/>
    </row>
    <row r="850" spans="4:4" ht="13.5" customHeight="1" x14ac:dyDescent="0.3">
      <c r="D850" s="1"/>
    </row>
    <row r="851" spans="4:4" ht="13.5" customHeight="1" x14ac:dyDescent="0.3">
      <c r="D851" s="1"/>
    </row>
    <row r="852" spans="4:4" ht="13.5" customHeight="1" x14ac:dyDescent="0.3">
      <c r="D852" s="1"/>
    </row>
    <row r="853" spans="4:4" ht="13.5" customHeight="1" x14ac:dyDescent="0.3">
      <c r="D853" s="1"/>
    </row>
    <row r="854" spans="4:4" ht="13.5" customHeight="1" x14ac:dyDescent="0.3">
      <c r="D854" s="1"/>
    </row>
    <row r="855" spans="4:4" ht="13.5" customHeight="1" x14ac:dyDescent="0.3">
      <c r="D855" s="1"/>
    </row>
    <row r="856" spans="4:4" ht="13.5" customHeight="1" x14ac:dyDescent="0.3">
      <c r="D856" s="1"/>
    </row>
    <row r="857" spans="4:4" ht="13.5" customHeight="1" x14ac:dyDescent="0.3">
      <c r="D857" s="1"/>
    </row>
    <row r="858" spans="4:4" ht="13.5" customHeight="1" x14ac:dyDescent="0.3">
      <c r="D858" s="1"/>
    </row>
    <row r="859" spans="4:4" ht="13.5" customHeight="1" x14ac:dyDescent="0.3">
      <c r="D859" s="1"/>
    </row>
    <row r="860" spans="4:4" ht="13.5" customHeight="1" x14ac:dyDescent="0.3">
      <c r="D860" s="1"/>
    </row>
    <row r="861" spans="4:4" ht="13.5" customHeight="1" x14ac:dyDescent="0.3">
      <c r="D861" s="1"/>
    </row>
    <row r="862" spans="4:4" ht="13.5" customHeight="1" x14ac:dyDescent="0.3">
      <c r="D862" s="1"/>
    </row>
    <row r="863" spans="4:4" ht="13.5" customHeight="1" x14ac:dyDescent="0.3">
      <c r="D863" s="1"/>
    </row>
    <row r="864" spans="4:4" ht="13.5" customHeight="1" x14ac:dyDescent="0.3">
      <c r="D864" s="1"/>
    </row>
    <row r="865" spans="4:4" ht="13.5" customHeight="1" x14ac:dyDescent="0.3">
      <c r="D865" s="1"/>
    </row>
    <row r="866" spans="4:4" ht="13.5" customHeight="1" x14ac:dyDescent="0.3">
      <c r="D866" s="1"/>
    </row>
    <row r="867" spans="4:4" ht="13.5" customHeight="1" x14ac:dyDescent="0.3">
      <c r="D867" s="1"/>
    </row>
    <row r="868" spans="4:4" ht="13.5" customHeight="1" x14ac:dyDescent="0.3">
      <c r="D868" s="1"/>
    </row>
    <row r="869" spans="4:4" ht="13.5" customHeight="1" x14ac:dyDescent="0.3">
      <c r="D869" s="1"/>
    </row>
    <row r="870" spans="4:4" ht="13.5" customHeight="1" x14ac:dyDescent="0.3">
      <c r="D870" s="1"/>
    </row>
    <row r="871" spans="4:4" ht="13.5" customHeight="1" x14ac:dyDescent="0.3">
      <c r="D871" s="1"/>
    </row>
    <row r="872" spans="4:4" ht="13.5" customHeight="1" x14ac:dyDescent="0.3">
      <c r="D872" s="1"/>
    </row>
    <row r="873" spans="4:4" ht="13.5" customHeight="1" x14ac:dyDescent="0.3">
      <c r="D873" s="1"/>
    </row>
    <row r="874" spans="4:4" ht="13.5" customHeight="1" x14ac:dyDescent="0.3">
      <c r="D874" s="1"/>
    </row>
    <row r="875" spans="4:4" ht="13.5" customHeight="1" x14ac:dyDescent="0.3">
      <c r="D875" s="1"/>
    </row>
    <row r="876" spans="4:4" ht="13.5" customHeight="1" x14ac:dyDescent="0.3">
      <c r="D876" s="1"/>
    </row>
    <row r="877" spans="4:4" ht="13.5" customHeight="1" x14ac:dyDescent="0.3">
      <c r="D877" s="1"/>
    </row>
    <row r="878" spans="4:4" ht="13.5" customHeight="1" x14ac:dyDescent="0.3">
      <c r="D878" s="1"/>
    </row>
    <row r="879" spans="4:4" ht="13.5" customHeight="1" x14ac:dyDescent="0.3">
      <c r="D879" s="1"/>
    </row>
    <row r="880" spans="4:4" ht="13.5" customHeight="1" x14ac:dyDescent="0.3">
      <c r="D880" s="1"/>
    </row>
    <row r="881" spans="4:4" ht="13.5" customHeight="1" x14ac:dyDescent="0.3">
      <c r="D881" s="1"/>
    </row>
    <row r="882" spans="4:4" ht="13.5" customHeight="1" x14ac:dyDescent="0.3">
      <c r="D882" s="1"/>
    </row>
    <row r="883" spans="4:4" ht="13.5" customHeight="1" x14ac:dyDescent="0.3">
      <c r="D883" s="1"/>
    </row>
    <row r="884" spans="4:4" ht="13.5" customHeight="1" x14ac:dyDescent="0.3">
      <c r="D884" s="1"/>
    </row>
    <row r="885" spans="4:4" ht="13.5" customHeight="1" x14ac:dyDescent="0.3">
      <c r="D885" s="1"/>
    </row>
    <row r="886" spans="4:4" ht="13.5" customHeight="1" x14ac:dyDescent="0.3">
      <c r="D886" s="1"/>
    </row>
    <row r="887" spans="4:4" ht="13.5" customHeight="1" x14ac:dyDescent="0.3">
      <c r="D887" s="1"/>
    </row>
    <row r="888" spans="4:4" ht="13.5" customHeight="1" x14ac:dyDescent="0.3">
      <c r="D888" s="1"/>
    </row>
    <row r="889" spans="4:4" ht="13.5" customHeight="1" x14ac:dyDescent="0.3">
      <c r="D889" s="1"/>
    </row>
    <row r="890" spans="4:4" ht="13.5" customHeight="1" x14ac:dyDescent="0.3">
      <c r="D890" s="1"/>
    </row>
    <row r="891" spans="4:4" ht="13.5" customHeight="1" x14ac:dyDescent="0.3">
      <c r="D891" s="1"/>
    </row>
    <row r="892" spans="4:4" ht="13.5" customHeight="1" x14ac:dyDescent="0.3">
      <c r="D892" s="1"/>
    </row>
    <row r="893" spans="4:4" ht="13.5" customHeight="1" x14ac:dyDescent="0.3">
      <c r="D893" s="1"/>
    </row>
    <row r="894" spans="4:4" ht="13.5" customHeight="1" x14ac:dyDescent="0.3">
      <c r="D894" s="1"/>
    </row>
    <row r="895" spans="4:4" ht="13.5" customHeight="1" x14ac:dyDescent="0.3">
      <c r="D895" s="1"/>
    </row>
    <row r="896" spans="4:4" ht="13.5" customHeight="1" x14ac:dyDescent="0.3">
      <c r="D896" s="1"/>
    </row>
    <row r="897" spans="4:4" ht="13.5" customHeight="1" x14ac:dyDescent="0.3">
      <c r="D897" s="1"/>
    </row>
    <row r="898" spans="4:4" ht="13.5" customHeight="1" x14ac:dyDescent="0.3">
      <c r="D898" s="1"/>
    </row>
    <row r="899" spans="4:4" ht="13.5" customHeight="1" x14ac:dyDescent="0.3">
      <c r="D899" s="1"/>
    </row>
    <row r="900" spans="4:4" ht="13.5" customHeight="1" x14ac:dyDescent="0.3">
      <c r="D900" s="1"/>
    </row>
    <row r="901" spans="4:4" ht="13.5" customHeight="1" x14ac:dyDescent="0.3">
      <c r="D901" s="1"/>
    </row>
    <row r="902" spans="4:4" ht="13.5" customHeight="1" x14ac:dyDescent="0.3">
      <c r="D902" s="1"/>
    </row>
    <row r="903" spans="4:4" ht="13.5" customHeight="1" x14ac:dyDescent="0.3">
      <c r="D903" s="1"/>
    </row>
    <row r="904" spans="4:4" ht="13.5" customHeight="1" x14ac:dyDescent="0.3">
      <c r="D904" s="1"/>
    </row>
    <row r="905" spans="4:4" ht="13.5" customHeight="1" x14ac:dyDescent="0.3">
      <c r="D905" s="1"/>
    </row>
    <row r="906" spans="4:4" ht="13.5" customHeight="1" x14ac:dyDescent="0.3">
      <c r="D906" s="1"/>
    </row>
    <row r="907" spans="4:4" ht="13.5" customHeight="1" x14ac:dyDescent="0.3">
      <c r="D907" s="1"/>
    </row>
    <row r="908" spans="4:4" ht="13.5" customHeight="1" x14ac:dyDescent="0.3">
      <c r="D908" s="1"/>
    </row>
    <row r="909" spans="4:4" ht="13.5" customHeight="1" x14ac:dyDescent="0.3">
      <c r="D909" s="1"/>
    </row>
    <row r="910" spans="4:4" ht="13.5" customHeight="1" x14ac:dyDescent="0.3">
      <c r="D910" s="1"/>
    </row>
    <row r="911" spans="4:4" ht="13.5" customHeight="1" x14ac:dyDescent="0.3">
      <c r="D911" s="1"/>
    </row>
    <row r="912" spans="4:4" ht="13.5" customHeight="1" x14ac:dyDescent="0.3">
      <c r="D912" s="1"/>
    </row>
    <row r="913" spans="4:4" ht="13.5" customHeight="1" x14ac:dyDescent="0.3">
      <c r="D913" s="1"/>
    </row>
    <row r="914" spans="4:4" ht="13.5" customHeight="1" x14ac:dyDescent="0.3">
      <c r="D914" s="1"/>
    </row>
    <row r="915" spans="4:4" ht="13.5" customHeight="1" x14ac:dyDescent="0.3">
      <c r="D915" s="1"/>
    </row>
    <row r="916" spans="4:4" ht="13.5" customHeight="1" x14ac:dyDescent="0.3">
      <c r="D916" s="1"/>
    </row>
    <row r="917" spans="4:4" ht="13.5" customHeight="1" x14ac:dyDescent="0.3">
      <c r="D917" s="1"/>
    </row>
    <row r="918" spans="4:4" ht="13.5" customHeight="1" x14ac:dyDescent="0.3">
      <c r="D918" s="1"/>
    </row>
    <row r="919" spans="4:4" ht="13.5" customHeight="1" x14ac:dyDescent="0.3">
      <c r="D919" s="1"/>
    </row>
    <row r="920" spans="4:4" ht="13.5" customHeight="1" x14ac:dyDescent="0.3">
      <c r="D920" s="1"/>
    </row>
    <row r="921" spans="4:4" ht="13.5" customHeight="1" x14ac:dyDescent="0.3">
      <c r="D921" s="1"/>
    </row>
    <row r="922" spans="4:4" ht="13.5" customHeight="1" x14ac:dyDescent="0.3">
      <c r="D922" s="1"/>
    </row>
    <row r="923" spans="4:4" ht="13.5" customHeight="1" x14ac:dyDescent="0.3">
      <c r="D923" s="1"/>
    </row>
    <row r="924" spans="4:4" ht="13.5" customHeight="1" x14ac:dyDescent="0.3">
      <c r="D924" s="1"/>
    </row>
    <row r="925" spans="4:4" ht="13.5" customHeight="1" x14ac:dyDescent="0.3">
      <c r="D925" s="1"/>
    </row>
    <row r="926" spans="4:4" ht="13.5" customHeight="1" x14ac:dyDescent="0.3">
      <c r="D926" s="1"/>
    </row>
    <row r="927" spans="4:4" ht="13.5" customHeight="1" x14ac:dyDescent="0.3">
      <c r="D927" s="1"/>
    </row>
    <row r="928" spans="4:4" ht="13.5" customHeight="1" x14ac:dyDescent="0.3">
      <c r="D928" s="1"/>
    </row>
    <row r="929" spans="4:4" ht="13.5" customHeight="1" x14ac:dyDescent="0.3">
      <c r="D929" s="1"/>
    </row>
    <row r="930" spans="4:4" ht="13.5" customHeight="1" x14ac:dyDescent="0.3">
      <c r="D930" s="1"/>
    </row>
    <row r="931" spans="4:4" ht="13.5" customHeight="1" x14ac:dyDescent="0.3">
      <c r="D931" s="1"/>
    </row>
    <row r="932" spans="4:4" ht="13.5" customHeight="1" x14ac:dyDescent="0.3">
      <c r="D932" s="1"/>
    </row>
    <row r="933" spans="4:4" ht="13.5" customHeight="1" x14ac:dyDescent="0.3">
      <c r="D933" s="1"/>
    </row>
    <row r="934" spans="4:4" ht="13.5" customHeight="1" x14ac:dyDescent="0.3">
      <c r="D934" s="1"/>
    </row>
    <row r="935" spans="4:4" ht="13.5" customHeight="1" x14ac:dyDescent="0.3">
      <c r="D935" s="1"/>
    </row>
    <row r="936" spans="4:4" ht="13.5" customHeight="1" x14ac:dyDescent="0.3">
      <c r="D936" s="1"/>
    </row>
    <row r="937" spans="4:4" ht="13.5" customHeight="1" x14ac:dyDescent="0.3">
      <c r="D937" s="1"/>
    </row>
    <row r="938" spans="4:4" ht="13.5" customHeight="1" x14ac:dyDescent="0.3">
      <c r="D938" s="1"/>
    </row>
    <row r="939" spans="4:4" ht="13.5" customHeight="1" x14ac:dyDescent="0.3">
      <c r="D939" s="1"/>
    </row>
    <row r="940" spans="4:4" ht="13.5" customHeight="1" x14ac:dyDescent="0.3">
      <c r="D940" s="1"/>
    </row>
    <row r="941" spans="4:4" ht="13.5" customHeight="1" x14ac:dyDescent="0.3">
      <c r="D941" s="1"/>
    </row>
    <row r="942" spans="4:4" ht="13.5" customHeight="1" x14ac:dyDescent="0.3">
      <c r="D942" s="1"/>
    </row>
    <row r="943" spans="4:4" ht="13.5" customHeight="1" x14ac:dyDescent="0.3">
      <c r="D943" s="1"/>
    </row>
    <row r="944" spans="4:4" ht="13.5" customHeight="1" x14ac:dyDescent="0.3">
      <c r="D944" s="1"/>
    </row>
    <row r="945" spans="4:4" ht="13.5" customHeight="1" x14ac:dyDescent="0.3">
      <c r="D945" s="1"/>
    </row>
    <row r="946" spans="4:4" ht="13.5" customHeight="1" x14ac:dyDescent="0.3">
      <c r="D946" s="1"/>
    </row>
    <row r="947" spans="4:4" ht="13.5" customHeight="1" x14ac:dyDescent="0.3">
      <c r="D947" s="1"/>
    </row>
    <row r="948" spans="4:4" ht="13.5" customHeight="1" x14ac:dyDescent="0.3">
      <c r="D948" s="1"/>
    </row>
    <row r="949" spans="4:4" ht="13.5" customHeight="1" x14ac:dyDescent="0.3">
      <c r="D949" s="1"/>
    </row>
    <row r="950" spans="4:4" ht="13.5" customHeight="1" x14ac:dyDescent="0.3">
      <c r="D950" s="1"/>
    </row>
    <row r="951" spans="4:4" ht="13.5" customHeight="1" x14ac:dyDescent="0.3">
      <c r="D951" s="1"/>
    </row>
    <row r="952" spans="4:4" ht="13.5" customHeight="1" x14ac:dyDescent="0.3">
      <c r="D952" s="1"/>
    </row>
    <row r="953" spans="4:4" ht="13.5" customHeight="1" x14ac:dyDescent="0.3">
      <c r="D953" s="1"/>
    </row>
    <row r="954" spans="4:4" ht="13.5" customHeight="1" x14ac:dyDescent="0.3">
      <c r="D954" s="1"/>
    </row>
    <row r="955" spans="4:4" ht="13.5" customHeight="1" x14ac:dyDescent="0.3">
      <c r="D955" s="1"/>
    </row>
    <row r="956" spans="4:4" ht="13.5" customHeight="1" x14ac:dyDescent="0.3">
      <c r="D956" s="1"/>
    </row>
    <row r="957" spans="4:4" ht="13.5" customHeight="1" x14ac:dyDescent="0.3">
      <c r="D957" s="1"/>
    </row>
    <row r="958" spans="4:4" ht="13.5" customHeight="1" x14ac:dyDescent="0.3">
      <c r="D958" s="1"/>
    </row>
    <row r="959" spans="4:4" ht="13.5" customHeight="1" x14ac:dyDescent="0.3">
      <c r="D959" s="1"/>
    </row>
    <row r="960" spans="4:4" ht="13.5" customHeight="1" x14ac:dyDescent="0.3">
      <c r="D960" s="1"/>
    </row>
    <row r="961" spans="4:4" ht="13.5" customHeight="1" x14ac:dyDescent="0.3">
      <c r="D961" s="1"/>
    </row>
    <row r="962" spans="4:4" ht="13.5" customHeight="1" x14ac:dyDescent="0.3">
      <c r="D962" s="1"/>
    </row>
    <row r="963" spans="4:4" ht="13.5" customHeight="1" x14ac:dyDescent="0.3">
      <c r="D963" s="1"/>
    </row>
    <row r="964" spans="4:4" ht="13.5" customHeight="1" x14ac:dyDescent="0.3">
      <c r="D964" s="1"/>
    </row>
    <row r="965" spans="4:4" ht="13.5" customHeight="1" x14ac:dyDescent="0.3">
      <c r="D965" s="1"/>
    </row>
    <row r="966" spans="4:4" ht="13.5" customHeight="1" x14ac:dyDescent="0.3">
      <c r="D966" s="1"/>
    </row>
    <row r="967" spans="4:4" ht="13.5" customHeight="1" x14ac:dyDescent="0.3">
      <c r="D967" s="1"/>
    </row>
    <row r="968" spans="4:4" ht="13.5" customHeight="1" x14ac:dyDescent="0.3">
      <c r="D968" s="1"/>
    </row>
    <row r="969" spans="4:4" ht="13.5" customHeight="1" x14ac:dyDescent="0.3">
      <c r="D969" s="1"/>
    </row>
    <row r="970" spans="4:4" ht="13.5" customHeight="1" x14ac:dyDescent="0.3">
      <c r="D970" s="1"/>
    </row>
    <row r="971" spans="4:4" ht="13.5" customHeight="1" x14ac:dyDescent="0.3">
      <c r="D971" s="1"/>
    </row>
    <row r="972" spans="4:4" ht="13.5" customHeight="1" x14ac:dyDescent="0.3">
      <c r="D972" s="1"/>
    </row>
    <row r="973" spans="4:4" ht="13.5" customHeight="1" x14ac:dyDescent="0.3">
      <c r="D973" s="1"/>
    </row>
    <row r="974" spans="4:4" ht="13.5" customHeight="1" x14ac:dyDescent="0.3">
      <c r="D974" s="1"/>
    </row>
    <row r="975" spans="4:4" ht="13.5" customHeight="1" x14ac:dyDescent="0.3">
      <c r="D975" s="1"/>
    </row>
    <row r="976" spans="4:4" ht="13.5" customHeight="1" x14ac:dyDescent="0.3">
      <c r="D976" s="1"/>
    </row>
    <row r="977" spans="4:4" ht="13.5" customHeight="1" x14ac:dyDescent="0.3">
      <c r="D977" s="1"/>
    </row>
    <row r="978" spans="4:4" ht="13.5" customHeight="1" x14ac:dyDescent="0.3">
      <c r="D978" s="1"/>
    </row>
    <row r="979" spans="4:4" ht="13.5" customHeight="1" x14ac:dyDescent="0.3">
      <c r="D979" s="1"/>
    </row>
    <row r="980" spans="4:4" ht="13.5" customHeight="1" x14ac:dyDescent="0.3">
      <c r="D980" s="1"/>
    </row>
    <row r="981" spans="4:4" ht="13.5" customHeight="1" x14ac:dyDescent="0.3">
      <c r="D981" s="1"/>
    </row>
    <row r="982" spans="4:4" ht="13.5" customHeight="1" x14ac:dyDescent="0.3">
      <c r="D982" s="1"/>
    </row>
    <row r="983" spans="4:4" ht="13.5" customHeight="1" x14ac:dyDescent="0.3">
      <c r="D983" s="1"/>
    </row>
    <row r="984" spans="4:4" ht="13.5" customHeight="1" x14ac:dyDescent="0.3">
      <c r="D984" s="1"/>
    </row>
    <row r="985" spans="4:4" ht="13.5" customHeight="1" x14ac:dyDescent="0.3">
      <c r="D985" s="1"/>
    </row>
    <row r="986" spans="4:4" ht="13.5" customHeight="1" x14ac:dyDescent="0.3">
      <c r="D986" s="1"/>
    </row>
    <row r="987" spans="4:4" ht="13.5" customHeight="1" x14ac:dyDescent="0.3">
      <c r="D987" s="1"/>
    </row>
    <row r="988" spans="4:4" ht="13.5" customHeight="1" x14ac:dyDescent="0.3">
      <c r="D988" s="1"/>
    </row>
    <row r="989" spans="4:4" ht="13.5" customHeight="1" x14ac:dyDescent="0.3">
      <c r="D989" s="1"/>
    </row>
    <row r="990" spans="4:4" ht="13.5" customHeight="1" x14ac:dyDescent="0.3">
      <c r="D990" s="1"/>
    </row>
    <row r="991" spans="4:4" ht="13.5" customHeight="1" x14ac:dyDescent="0.3">
      <c r="D991" s="1"/>
    </row>
    <row r="992" spans="4:4" ht="13.5" customHeight="1" x14ac:dyDescent="0.3">
      <c r="D992" s="1"/>
    </row>
    <row r="993" spans="4:4" ht="13.5" customHeight="1" x14ac:dyDescent="0.3">
      <c r="D993" s="1"/>
    </row>
    <row r="994" spans="4:4" ht="13.5" customHeight="1" x14ac:dyDescent="0.3">
      <c r="D994" s="1"/>
    </row>
    <row r="995" spans="4:4" ht="13.5" customHeight="1" x14ac:dyDescent="0.3">
      <c r="D995" s="1"/>
    </row>
    <row r="996" spans="4:4" ht="13.5" customHeight="1" x14ac:dyDescent="0.3">
      <c r="D996" s="1"/>
    </row>
    <row r="997" spans="4:4" ht="13.5" customHeight="1" x14ac:dyDescent="0.3">
      <c r="D997" s="1"/>
    </row>
    <row r="998" spans="4:4" ht="13.5" customHeight="1" x14ac:dyDescent="0.3">
      <c r="D998" s="1"/>
    </row>
    <row r="999" spans="4:4" ht="13.5" customHeight="1" x14ac:dyDescent="0.3">
      <c r="D999" s="1"/>
    </row>
    <row r="1000" spans="4:4" ht="13.5" customHeight="1" x14ac:dyDescent="0.3">
      <c r="D1000" s="1"/>
    </row>
  </sheetData>
  <mergeCells count="3">
    <mergeCell ref="F3:F8"/>
    <mergeCell ref="B6:B8"/>
    <mergeCell ref="E6:E8"/>
  </mergeCell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F1000"/>
  <sheetViews>
    <sheetView showGridLines="0" workbookViewId="0"/>
  </sheetViews>
  <sheetFormatPr defaultColWidth="14.44140625" defaultRowHeight="15" customHeight="1" x14ac:dyDescent="0.3"/>
  <cols>
    <col min="1" max="1" width="4.6640625" customWidth="1"/>
    <col min="2" max="2" width="21.6640625" customWidth="1"/>
    <col min="3" max="3" width="61.109375" customWidth="1"/>
    <col min="4" max="4" width="8.6640625" customWidth="1"/>
    <col min="5" max="5" width="34.5546875" customWidth="1"/>
    <col min="6" max="6" width="53.33203125" customWidth="1"/>
    <col min="7" max="26" width="8.6640625" customWidth="1"/>
  </cols>
  <sheetData>
    <row r="1" spans="2:6" ht="13.5" customHeight="1" x14ac:dyDescent="0.3"/>
    <row r="2" spans="2:6" ht="13.5" customHeight="1" x14ac:dyDescent="0.3"/>
    <row r="3" spans="2:6" ht="13.5" customHeight="1" x14ac:dyDescent="0.3"/>
    <row r="4" spans="2:6" ht="13.5" customHeight="1" x14ac:dyDescent="0.3"/>
    <row r="5" spans="2:6" ht="13.5" customHeight="1" x14ac:dyDescent="0.35">
      <c r="B5" s="2" t="s">
        <v>365</v>
      </c>
    </row>
    <row r="6" spans="2:6" ht="13.5" customHeight="1" x14ac:dyDescent="0.3"/>
    <row r="7" spans="2:6" ht="13.5" customHeight="1" x14ac:dyDescent="0.3">
      <c r="B7" s="4" t="s">
        <v>366</v>
      </c>
      <c r="E7" s="4" t="s">
        <v>367</v>
      </c>
    </row>
    <row r="8" spans="2:6" ht="13.5" customHeight="1" x14ac:dyDescent="0.3">
      <c r="B8" s="150" t="s">
        <v>107</v>
      </c>
      <c r="C8" s="150" t="s">
        <v>368</v>
      </c>
      <c r="E8" s="150" t="s">
        <v>107</v>
      </c>
      <c r="F8" s="150" t="s">
        <v>368</v>
      </c>
    </row>
    <row r="9" spans="2:6" ht="34.5" customHeight="1" x14ac:dyDescent="0.3">
      <c r="B9" s="151" t="s">
        <v>369</v>
      </c>
      <c r="C9" s="152" t="s">
        <v>370</v>
      </c>
      <c r="E9" s="153" t="s">
        <v>371</v>
      </c>
      <c r="F9" s="152"/>
    </row>
    <row r="10" spans="2:6" ht="13.5" customHeight="1" x14ac:dyDescent="0.3">
      <c r="B10" s="154" t="s">
        <v>372</v>
      </c>
      <c r="C10" s="155" t="s">
        <v>373</v>
      </c>
      <c r="E10" s="154" t="s">
        <v>19</v>
      </c>
      <c r="F10" s="151"/>
    </row>
    <row r="11" spans="2:6" ht="13.5" customHeight="1" x14ac:dyDescent="0.3">
      <c r="B11" s="154" t="s">
        <v>374</v>
      </c>
      <c r="C11" s="155" t="s">
        <v>375</v>
      </c>
    </row>
    <row r="12" spans="2:6" ht="32.25" customHeight="1" x14ac:dyDescent="0.3">
      <c r="B12" s="156" t="s">
        <v>376</v>
      </c>
      <c r="C12" s="157" t="s">
        <v>377</v>
      </c>
    </row>
    <row r="13" spans="2:6" ht="13.5" customHeight="1" x14ac:dyDescent="0.3"/>
    <row r="14" spans="2:6" ht="13.5" customHeight="1" x14ac:dyDescent="0.3"/>
    <row r="15" spans="2:6" ht="13.5" customHeight="1" x14ac:dyDescent="0.3"/>
    <row r="16" spans="2:6"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hyperlinks>
    <hyperlink ref="C9" r:id="rId1" xr:uid="{00000000-0004-0000-0A00-000000000000}"/>
    <hyperlink ref="C10" r:id="rId2" xr:uid="{00000000-0004-0000-0A00-000001000000}"/>
    <hyperlink ref="C11" r:id="rId3" xr:uid="{00000000-0004-0000-0A00-000002000000}"/>
  </hyperlinks>
  <pageMargins left="0.7" right="0.7" top="0.75" bottom="0.75" header="0" footer="0"/>
  <pageSetup orientation="landscape"/>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vt:lpstr>
      <vt:lpstr>Product Backlog</vt:lpstr>
      <vt:lpstr>Sprint 1 Backlog</vt:lpstr>
      <vt:lpstr>Sprint 1 Reports</vt:lpstr>
      <vt:lpstr>Sprint 2 Backlog</vt:lpstr>
      <vt:lpstr>Sprint 2 Reports</vt:lpstr>
      <vt:lpstr>Sprint 3 Reports</vt:lpstr>
      <vt:lpstr>Sprint 3 Backlog</vt:lpstr>
      <vt:lpstr>Impediment</vt:lpstr>
      <vt:lpstr>Retrospective</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Prashanth Krishnamurthy</dc:creator>
  <cp:lastModifiedBy>Nh Huy Ng Ph</cp:lastModifiedBy>
  <dcterms:created xsi:type="dcterms:W3CDTF">2018-12-26T04:30:06Z</dcterms:created>
  <dcterms:modified xsi:type="dcterms:W3CDTF">2026-04-15T12:42:30Z</dcterms:modified>
</cp:coreProperties>
</file>