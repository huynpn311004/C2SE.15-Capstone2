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User Management" sheetId="2" r:id="rId5"/>
    <sheet state="visible" name="Upload image" sheetId="3" r:id="rId6"/>
    <sheet state="visible" name="View Analysis Results" sheetId="4" r:id="rId7"/>
    <sheet state="visible" name="Treatment Recommendations" sheetId="5" r:id="rId8"/>
    <sheet state="visible" name="Firebase Integration" sheetId="6" r:id="rId9"/>
    <sheet state="visible" name="History Analysis" sheetId="7" r:id="rId10"/>
    <sheet state="visible" name="Category Management" sheetId="8" r:id="rId11"/>
    <sheet state="visible" name="Apply Coupon Code at Checkout" sheetId="9" r:id="rId12"/>
    <sheet state="visible" name="Online Marketplace" sheetId="10" r:id="rId13"/>
    <sheet state="visible" name="Product Management" sheetId="11" r:id="rId14"/>
    <sheet state="visible" name="Search &amp; Filter Products" sheetId="12" r:id="rId15"/>
    <sheet state="visible" name="Coupon Management" sheetId="13" r:id="rId16"/>
    <sheet state="visible" name="Shopping Cart" sheetId="14" r:id="rId17"/>
    <sheet state="visible" name="Edit Profile(Farmer)" sheetId="15" r:id="rId18"/>
    <sheet state="visible" name="Edit Profile(Admin) " sheetId="16" r:id="rId19"/>
  </sheets>
  <externalReferences>
    <externalReference r:id="rId20"/>
  </externalReferences>
  <definedNames/>
  <calcPr/>
  <extLst>
    <ext uri="GoogleSheetsCustomDataVersion2">
      <go:sheetsCustomData xmlns:go="http://customooxmlschemas.google.com/" r:id="rId21" roundtripDataChecksum="iynaIIjpr48Y6/NdK8O1A3cxOnKjseLqzfC4lkaX/d0="/>
    </ext>
  </extLst>
</workbook>
</file>

<file path=xl/sharedStrings.xml><?xml version="1.0" encoding="utf-8"?>
<sst xmlns="http://schemas.openxmlformats.org/spreadsheetml/2006/main" count="2205" uniqueCount="701">
  <si>
    <t>Project Name</t>
  </si>
  <si>
    <t>LeafSense - Coffee Leaf Disease Detection System</t>
  </si>
  <si>
    <t>TOTAL</t>
  </si>
  <si>
    <t>PASS</t>
  </si>
  <si>
    <t>FAIL</t>
  </si>
  <si>
    <t>Stage</t>
  </si>
  <si>
    <t>Sprint 2</t>
  </si>
  <si>
    <t>Status</t>
  </si>
  <si>
    <t>Project Code</t>
  </si>
  <si>
    <t>Re-test Status</t>
  </si>
  <si>
    <t>Test Environment Setup Description</t>
  </si>
  <si>
    <t>Web</t>
  </si>
  <si>
    <t>Tester</t>
  </si>
  <si>
    <t>Pham Minh Trang</t>
  </si>
  <si>
    <t>Nguyen Pham Nhat Huy</t>
  </si>
  <si>
    <t>Duong Quoc Binh</t>
  </si>
  <si>
    <t>Nguyen Huu Thang</t>
  </si>
  <si>
    <t>Nguyen Huy Hoang Bao</t>
  </si>
  <si>
    <t>Test Result</t>
  </si>
  <si>
    <t>SKIPPED</t>
  </si>
  <si>
    <t>NOT IMPLEMENTED</t>
  </si>
  <si>
    <t>No</t>
  </si>
  <si>
    <t>Testcase ID</t>
  </si>
  <si>
    <t>Function Name</t>
  </si>
  <si>
    <t>Sheet Name</t>
  </si>
  <si>
    <t>Create Date</t>
  </si>
  <si>
    <t>End Date</t>
  </si>
  <si>
    <t>UM-X</t>
  </si>
  <si>
    <t>User Management</t>
  </si>
  <si>
    <t>Oct 12, 2025</t>
  </si>
  <si>
    <t>UI-X</t>
  </si>
  <si>
    <t>Upload Image</t>
  </si>
  <si>
    <t>VAR-X</t>
  </si>
  <si>
    <t>View Analysis Results</t>
  </si>
  <si>
    <t>TR-X</t>
  </si>
  <si>
    <t>Treatment Recommendations</t>
  </si>
  <si>
    <t>Oct 13, 2025</t>
  </si>
  <si>
    <t>HA-X</t>
  </si>
  <si>
    <t>History Analysis</t>
  </si>
  <si>
    <t>FI-X</t>
  </si>
  <si>
    <t>Firebase Integration</t>
  </si>
  <si>
    <t>CTM-X</t>
  </si>
  <si>
    <t>Category Management</t>
  </si>
  <si>
    <t>Oct 14, 2025</t>
  </si>
  <si>
    <t>PM-X</t>
  </si>
  <si>
    <t>Product Management</t>
  </si>
  <si>
    <t>OM-X</t>
  </si>
  <si>
    <t>Online Marketplace</t>
  </si>
  <si>
    <t>Oct 15, 2025</t>
  </si>
  <si>
    <t>SFP-X</t>
  </si>
  <si>
    <t>Search &amp; Filter Products</t>
  </si>
  <si>
    <t>SC-X</t>
  </si>
  <si>
    <t>Shopping Cart</t>
  </si>
  <si>
    <t>CPM-X</t>
  </si>
  <si>
    <t>Coupon Management</t>
  </si>
  <si>
    <t>Oct 16, 2025</t>
  </si>
  <si>
    <t>ACC-X</t>
  </si>
  <si>
    <t>Apply Coupon Code at Checkout</t>
  </si>
  <si>
    <t>EPF-X</t>
  </si>
  <si>
    <t>Edit Profile(Farmer)</t>
  </si>
  <si>
    <t>Oct 17, 2025</t>
  </si>
  <si>
    <t>EPA-X</t>
  </si>
  <si>
    <t>Edit Profile(Admin)</t>
  </si>
  <si>
    <t>Module</t>
  </si>
  <si>
    <t xml:space="preserve">User Management </t>
  </si>
  <si>
    <t>Code</t>
  </si>
  <si>
    <t xml:space="preserve">UM </t>
  </si>
  <si>
    <t>Check requirement</t>
  </si>
  <si>
    <t>Not Implemented</t>
  </si>
  <si>
    <t>STT</t>
  </si>
  <si>
    <t>Test case ID</t>
  </si>
  <si>
    <t>Requirements ID</t>
  </si>
  <si>
    <t>Test case decription</t>
  </si>
  <si>
    <t>Pre  - Condition</t>
  </si>
  <si>
    <t>Step</t>
  </si>
  <si>
    <t>Data</t>
  </si>
  <si>
    <t>Excepted Result</t>
  </si>
  <si>
    <t>Test Date</t>
  </si>
  <si>
    <t>Actual Result</t>
  </si>
  <si>
    <t>Re-test Date</t>
  </si>
  <si>
    <t>Re-test Result</t>
  </si>
  <si>
    <t>Assign to</t>
  </si>
  <si>
    <t>Lock active user successfully</t>
  </si>
  <si>
    <t>1. User status is active</t>
  </si>
  <si>
    <t>1. Log in to the system by account admin 
2. Click Lock → "Ok"</t>
  </si>
  <si>
    <t>User ID</t>
  </si>
  <si>
    <t>Status changes to Locked, button changes to Unlock</t>
  </si>
  <si>
    <t>Oct 20, 2025</t>
  </si>
  <si>
    <t>Cancel lock action</t>
  </si>
  <si>
    <t>1. Log in to the system by account admin 
2. Click Lock → " Hủy"</t>
  </si>
  <si>
    <t>No changes in status</t>
  </si>
  <si>
    <t>Lock user then refresh the page</t>
  </si>
  <si>
    <t>1. Log in to the system by account admin 
2. Click Lock → "Ok"
3. Refresh page</t>
  </si>
  <si>
    <t>Status remains Inactive (stored in DB)</t>
  </si>
  <si>
    <t>Lock user with no internet</t>
  </si>
  <si>
    <t>1. User status is active
2. Internet disconnected</t>
  </si>
  <si>
    <t>Show “Network error”, status unchanged</t>
  </si>
  <si>
    <t>Lock user while on another pagination page</t>
  </si>
  <si>
    <t>1. User list &gt; 1 page</t>
  </si>
  <si>
    <t>1. Log in to the new page  by account admin 
2. Click Lock → "Ok"</t>
  </si>
  <si>
    <t>Correct user locked on current page</t>
  </si>
  <si>
    <t>Delete user successfully</t>
  </si>
  <si>
    <t>1. User is not an admin</t>
  </si>
  <si>
    <t>1. Log in to the page  by account admin 
2. Click Delete → "Ok"</t>
  </si>
  <si>
    <t>User removed from list; toast “User deleted successfully”</t>
  </si>
  <si>
    <t>Cancel delete action</t>
  </si>
  <si>
    <t>1. User exists</t>
  </si>
  <si>
    <t>1. Log in to the page  by account admin 
2. Click Delete → "Hủy"</t>
  </si>
  <si>
    <t>No changes</t>
  </si>
  <si>
    <t>Delete user – API returns server error</t>
  </si>
  <si>
    <t>1. Backend 500 error</t>
  </si>
  <si>
    <t>1. Log in to the new page  by account admin 
2. Click Delete → "Ok"</t>
  </si>
  <si>
    <t>Show “Failed to delete users”, user not removed</t>
  </si>
  <si>
    <t xml:space="preserve">Delete user with posts/comments </t>
  </si>
  <si>
    <t>1. User has community content</t>
  </si>
  <si>
    <t>Upload Imange</t>
  </si>
  <si>
    <t xml:space="preserve">UI </t>
  </si>
  <si>
    <t>Upload valid coffee leaf image successfully</t>
  </si>
  <si>
    <t xml:space="preserve">1. User is logged in
</t>
  </si>
  <si>
    <t xml:space="preserve">1. Log in to the system
2. Click to " Choose Files"
3. Click to open to upload the image </t>
  </si>
  <si>
    <t>JPG image (leaf)</t>
  </si>
  <si>
    <t>Image uploaded successfully</t>
  </si>
  <si>
    <t>Upload PNG image successfully</t>
  </si>
  <si>
    <t>1. Log in to the system
2. Click to " Choose Files"
3. Click to open to upload the image</t>
  </si>
  <si>
    <t>PNG image</t>
  </si>
  <si>
    <t>Image accepted and uploaded</t>
  </si>
  <si>
    <t>Upload image with large size</t>
  </si>
  <si>
    <t>1. Log in to the system
2. Click to " Choose Files"
3. Click to open to upload the PDF file</t>
  </si>
  <si>
    <t>JPG (10MB)</t>
  </si>
  <si>
    <t>Upload unsupported file type</t>
  </si>
  <si>
    <t>1. Log in to the system
2. Click to " Choose Files"
3. Click to open to upload the image  &gt; max size</t>
  </si>
  <si>
    <t>PDF File</t>
  </si>
  <si>
    <t>Error message “Unsupported file format”</t>
  </si>
  <si>
    <t>Upload image without selecting file</t>
  </si>
  <si>
    <t>1. Log in to the system
2. Click to " Choose Files"
3. Click to open to upload without file</t>
  </si>
  <si>
    <t>None</t>
  </si>
  <si>
    <t>Nothing happened</t>
  </si>
  <si>
    <t>Upload image when internet disconnected</t>
  </si>
  <si>
    <t>1. Log in to the system
2. Click to " Choose Files"
3. Click to open to upload without internet</t>
  </si>
  <si>
    <t>JPG image</t>
  </si>
  <si>
    <t>Image uploaded successfully but cannot analysis</t>
  </si>
  <si>
    <t>Upload image and refresh page</t>
  </si>
  <si>
    <t>1. Log in to the system
2. Click to " Choose Files"
3. Click to open to upload the image then refresh the page</t>
  </si>
  <si>
    <t>Image still saved and retrievable</t>
  </si>
  <si>
    <t>Upload multiple images sequentially</t>
  </si>
  <si>
    <t>1. Log in to the system
2. Click to " Choose Files"
3. Click to open to upload the image 1 -&gt; image 2</t>
  </si>
  <si>
    <t>2 JPG image</t>
  </si>
  <si>
    <t>Each image uploaded successfully</t>
  </si>
  <si>
    <t>Upload image with special characters in filename</t>
  </si>
  <si>
    <t>leaf@#$.jpg</t>
  </si>
  <si>
    <t>Upload successful, filename handled correctly</t>
  </si>
  <si>
    <t>Upload non-leaf image</t>
  </si>
  <si>
    <t>People image</t>
  </si>
  <si>
    <t xml:space="preserve">VAR </t>
  </si>
  <si>
    <t>View analysis result after successful image upload</t>
  </si>
  <si>
    <t>User uploaded image</t>
  </si>
  <si>
    <t>1. Click "Analyze 1 image"</t>
  </si>
  <si>
    <t>Coffee leaf image</t>
  </si>
  <si>
    <t>Analysis result displayed correctly</t>
  </si>
  <si>
    <t>Display disease name correctly</t>
  </si>
  <si>
    <t>Analysis completed</t>
  </si>
  <si>
    <t>View Result</t>
  </si>
  <si>
    <t>Leaf disease detected</t>
  </si>
  <si>
    <t>Disease name shown</t>
  </si>
  <si>
    <t>Display confidence score</t>
  </si>
  <si>
    <t>View result</t>
  </si>
  <si>
    <t>Confidence (%)</t>
  </si>
  <si>
    <t>Confidence score displayed correctly</t>
  </si>
  <si>
    <t>Display healthy leaf result</t>
  </si>
  <si>
    <t>Healthy image uploaded</t>
  </si>
  <si>
    <t>Healthy leaf image</t>
  </si>
  <si>
    <t>Result shows “ No Disease”</t>
  </si>
  <si>
    <t>Display analysis image preview</t>
  </si>
  <si>
    <t>Uploaded image</t>
  </si>
  <si>
    <t>Image preview displayed</t>
  </si>
  <si>
    <t>1. Refresh page</t>
  </si>
  <si>
    <t>Result still displayed</t>
  </si>
  <si>
    <t>View the results when uploading a non-coffee leaf image.</t>
  </si>
  <si>
    <t>The result returned does not coffee leaves.</t>
  </si>
  <si>
    <t>View recommendation after analysis</t>
  </si>
  <si>
    <t>Treatment recommendation displayed</t>
  </si>
  <si>
    <t xml:space="preserve">TR </t>
  </si>
  <si>
    <t>View treatment recommendation after disease detection</t>
  </si>
  <si>
    <t>Analysis completed with disease detected</t>
  </si>
  <si>
    <t>1. Log in to the system
2. Click to " Choose Files"
3. Click to open to upload the image 
4. Analysis image</t>
  </si>
  <si>
    <t>Coffee leaf image (diseased)</t>
  </si>
  <si>
    <t>View treatment recommendation content</t>
  </si>
  <si>
    <t>Disease detected</t>
  </si>
  <si>
    <t>View recommendation section</t>
  </si>
  <si>
    <t>Disease name</t>
  </si>
  <si>
    <t>Correct recommendation shown for disease</t>
  </si>
  <si>
    <t>View recommendation for healthy leaf</t>
  </si>
  <si>
    <t>Displayed:"Your plant is perfectly healthy! Please continue with your current care routine."</t>
  </si>
  <si>
    <t>Display recommendation with clear steps</t>
  </si>
  <si>
    <t>Steps shown clearly and completely</t>
  </si>
  <si>
    <t>Display recommended products</t>
  </si>
  <si>
    <t>View recommendation</t>
  </si>
  <si>
    <t>Product list</t>
  </si>
  <si>
    <t>Recommended products displayed</t>
  </si>
  <si>
    <t>View recommendation after page refresh</t>
  </si>
  <si>
    <t>Recommendation exists</t>
  </si>
  <si>
    <t>Refresh page</t>
  </si>
  <si>
    <t>Same analysis</t>
  </si>
  <si>
    <t>Recommendation still displayed</t>
  </si>
  <si>
    <t>View recommendation from history analysis</t>
  </si>
  <si>
    <t>History record exists</t>
  </si>
  <si>
    <t>Open history detail</t>
  </si>
  <si>
    <t>Analysis ID</t>
  </si>
  <si>
    <t>Recommendation displayed correctly</t>
  </si>
  <si>
    <t>Verify recommendation accuracy per disease</t>
  </si>
  <si>
    <t>Known disease image</t>
  </si>
  <si>
    <t>Rust disease</t>
  </si>
  <si>
    <t>Recommendation matches disease</t>
  </si>
  <si>
    <t>Display dosage and usage instructions</t>
  </si>
  <si>
    <t>Recommendation available</t>
  </si>
  <si>
    <t>Dosage and usage displayed correctly</t>
  </si>
  <si>
    <t>Handle missing recommendation data</t>
  </si>
  <si>
    <t>AI returns no recommendation</t>
  </si>
  <si>
    <t>View result page</t>
  </si>
  <si>
    <t>Empty recommendation</t>
  </si>
  <si>
    <t>Show “Recommendation not available”</t>
  </si>
  <si>
    <t>FI</t>
  </si>
  <si>
    <t>Upload original image to Firebase after disease analysis</t>
  </si>
  <si>
    <t xml:space="preserve">User logged in, analysis completed
</t>
  </si>
  <si>
    <t>1. Login
2. Upload leaf image
3. Analyze image
4. Check Firebase Storage</t>
  </si>
  <si>
    <t>Original image uploaded to originals/ folder, public URL returned</t>
  </si>
  <si>
    <t>Oct 21, 2025</t>
  </si>
  <si>
    <t>Upload user avatar to Firebase</t>
  </si>
  <si>
    <t xml:space="preserve">
User logged in, profile page opened</t>
  </si>
  <si>
    <t>1. Login
2. Go to Settings
3. Click "Upload Avatar"
4. Select image
5. Save</t>
  </si>
  <si>
    <t>Avatar image (JPG/PNG, &lt;5MB)</t>
  </si>
  <si>
    <t>Avatar uploaded, public URL saved in user profile</t>
  </si>
  <si>
    <t>Oct 21, 2026</t>
  </si>
  <si>
    <t>Upload product image to Firebase (Admin)</t>
  </si>
  <si>
    <t>Admin logged in, product management opened</t>
  </si>
  <si>
    <t>1. Admin login
2. Go to Product Management
3. Click "Add Product"
4. Upload image
5. Save</t>
  </si>
  <si>
    <t>Product image (JPG/PNG)</t>
  </si>
  <si>
    <t>Product image uploaded, URL saved in product record</t>
  </si>
  <si>
    <t>Oct 21, 2027</t>
  </si>
  <si>
    <t>Upload community post image to Firebase</t>
  </si>
  <si>
    <t>User logged in, create post page opened</t>
  </si>
  <si>
    <t>1. Login
2. Go to Community
3. Click "New Post"
4. Upload image
5. Submit post</t>
  </si>
  <si>
    <t>Post image (JPG/PNG)</t>
  </si>
  <si>
    <t>Image uploaded, URL saved in post record</t>
  </si>
  <si>
    <t>Oct 21, 2028</t>
  </si>
  <si>
    <t>Handle Firebase upload failure gracefully</t>
  </si>
  <si>
    <t>User logged in, Firebase service unavailable</t>
  </si>
  <si>
    <t>1. Login
2. Upload image
3. Simulate Firebase error</t>
  </si>
  <si>
    <t>Image file</t>
  </si>
  <si>
    <t>Error message displayed, system does not crash</t>
  </si>
  <si>
    <t>Oct 21, 2029</t>
  </si>
  <si>
    <t>Verify Firebase public URL accessibility</t>
  </si>
  <si>
    <t>Image uploaded to Firebase</t>
  </si>
  <si>
    <t>1. Upload image
2. Get public URL
3. Access URL in browser</t>
  </si>
  <si>
    <t>Firebase public URL</t>
  </si>
  <si>
    <t>Image accessible via URL, displays correctly</t>
  </si>
  <si>
    <t>Oct 21, 2030</t>
  </si>
  <si>
    <t>HA</t>
  </si>
  <si>
    <t>View analysis history list</t>
  </si>
  <si>
    <t>User logged in, has analyzed images</t>
  </si>
  <si>
    <t>1. Login
2. Go to History Analysis page</t>
  </si>
  <si>
    <t>User account with history</t>
  </si>
  <si>
    <t>List of analyzed images displayed correctly</t>
  </si>
  <si>
    <t>View analysis history when no data exists</t>
  </si>
  <si>
    <t>User logged in, no analysis history</t>
  </si>
  <si>
    <t>New user account</t>
  </si>
  <si>
    <t>Message displayed: “No analysis history found”</t>
  </si>
  <si>
    <t>View detailed analysis result</t>
  </si>
  <si>
    <t>User logged in, history exists</t>
  </si>
  <si>
    <t>1. Login
2. Go to History Analysis
3. Click one record</t>
  </si>
  <si>
    <t>Analysis record</t>
  </si>
  <si>
    <t>Detailed result shown (image, disease, confidence)</t>
  </si>
  <si>
    <t>View original image from history</t>
  </si>
  <si>
    <t>User logged in, image exists in Firebase</t>
  </si>
  <si>
    <t>1. Open history detail</t>
  </si>
  <si>
    <t>Original image URL</t>
  </si>
  <si>
    <t>Original image displayed correctly</t>
  </si>
  <si>
    <t>Verify disease name and confidence display</t>
  </si>
  <si>
    <t>Disease type, confidence score</t>
  </si>
  <si>
    <t>Disease name and confidence shown correctly</t>
  </si>
  <si>
    <t>Sort history by date (latest first)</t>
  </si>
  <si>
    <t>User logged in, multiple records exist</t>
  </si>
  <si>
    <t>1. Open history page</t>
  </si>
  <si>
    <t>Multiple history records</t>
  </si>
  <si>
    <t>Records sorted by newest to oldest</t>
  </si>
  <si>
    <t>Filter history by disease type</t>
  </si>
  <si>
    <t>User logged in, multiple disease records</t>
  </si>
  <si>
    <t>1. Open history page
2. Select disease filter</t>
  </si>
  <si>
    <t>Disease type</t>
  </si>
  <si>
    <t>Only matching disease records displayed</t>
  </si>
  <si>
    <t>Pagination of history list</t>
  </si>
  <si>
    <t>User logged in, large history data</t>
  </si>
  <si>
    <t>1. Open history page
2. Scroll / change page</t>
  </si>
  <si>
    <t>&gt;10 records</t>
  </si>
  <si>
    <t>History paginated correctly</t>
  </si>
  <si>
    <t>Delete analysis history record</t>
  </si>
  <si>
    <t>1. Open history page
2. Delete a record</t>
  </si>
  <si>
    <t>History record</t>
  </si>
  <si>
    <t>Record removed from list and database</t>
  </si>
  <si>
    <t>Access history without login</t>
  </si>
  <si>
    <t>User not logged in</t>
  </si>
  <si>
    <t>1. Access History Analysis page</t>
  </si>
  <si>
    <t>Redirect to login page</t>
  </si>
  <si>
    <t>CM</t>
  </si>
  <si>
    <t>View category list</t>
  </si>
  <si>
    <t xml:space="preserve">Admin logged in
</t>
  </si>
  <si>
    <t>1. Admin login
2. Go to Category Management</t>
  </si>
  <si>
    <t>Existing categories</t>
  </si>
  <si>
    <t>Category list displayed correctly</t>
  </si>
  <si>
    <t>Add new category</t>
  </si>
  <si>
    <t xml:space="preserve">
Admin logged in</t>
  </si>
  <si>
    <t>1. Go to Category Management
2. Click "Add Category"
3. Enter name
4. Save</t>
  </si>
  <si>
    <t>Category name</t>
  </si>
  <si>
    <t>New category added successfully</t>
  </si>
  <si>
    <t>Add category with empty name</t>
  </si>
  <si>
    <t>Admin logged in</t>
  </si>
  <si>
    <t>1. Click "Add Category"
2. Leave name empty
3. Save</t>
  </si>
  <si>
    <t>Empty value</t>
  </si>
  <si>
    <t>Validation message displayed</t>
  </si>
  <si>
    <t>Add duplicate category name</t>
  </si>
  <si>
    <t>1. Add category with existing name</t>
  </si>
  <si>
    <t>Duplicate name</t>
  </si>
  <si>
    <t>Error message shown, category not added</t>
  </si>
  <si>
    <t>Edit category name</t>
  </si>
  <si>
    <t>Admin logged in, category exists</t>
  </si>
  <si>
    <t>1. Click "Edit"
2. Update name
3. Save</t>
  </si>
  <si>
    <t>Updated category name</t>
  </si>
  <si>
    <t>Category updated successfully</t>
  </si>
  <si>
    <t>Edit category with invalid name</t>
  </si>
  <si>
    <t>1. Edit category
2. Clear name
3. Save</t>
  </si>
  <si>
    <t>Validation error displayed</t>
  </si>
  <si>
    <t>Delete category not in use</t>
  </si>
  <si>
    <t>1. Click "Delete"
2. Confirm deletion</t>
  </si>
  <si>
    <t>Category not linked to product</t>
  </si>
  <si>
    <t>Category removed successfully</t>
  </si>
  <si>
    <t>Apply Coupon</t>
  </si>
  <si>
    <t>AC</t>
  </si>
  <si>
    <t>Apply valid coupon code successfully</t>
  </si>
  <si>
    <t>User logged in, cart has items, checkout page opened</t>
  </si>
  <si>
    <t>1. Login
2. Add product to cart
3. Go to Checkout
4. Enter coupon code
5. Click Apply</t>
  </si>
  <si>
    <t>Valid coupon code</t>
  </si>
  <si>
    <t>Discount applied, total amount updated</t>
  </si>
  <si>
    <t>Apply invalid coupon code</t>
  </si>
  <si>
    <t xml:space="preserve">
User logged in, checkout page opened</t>
  </si>
  <si>
    <t>1. Enter invalid coupon
2. Click Apply</t>
  </si>
  <si>
    <t>Invalid coupon code</t>
  </si>
  <si>
    <t>Error message displayed, no discount applied</t>
  </si>
  <si>
    <t>Apply coupon not applicable to cart items</t>
  </si>
  <si>
    <t>User logged in, cart items not eligible</t>
  </si>
  <si>
    <t>1. Enter coupon
2. Click Apply</t>
  </si>
  <si>
    <t>Coupon code</t>
  </si>
  <si>
    <t>Message displayed: “Coupon not applicable”</t>
  </si>
  <si>
    <t>Apply coupon with minimum order amount not met</t>
  </si>
  <si>
    <r>
      <rPr>
        <rFont val="Times New Roman"/>
        <color theme="1"/>
        <sz val="13.0"/>
      </rPr>
      <t>User logged in, cart total below requiremen</t>
    </r>
    <r>
      <rPr>
        <rFont val="Arial"/>
        <color theme="1"/>
        <sz val="11.0"/>
      </rPr>
      <t>t</t>
    </r>
  </si>
  <si>
    <t>Warning shown, discount not applied</t>
  </si>
  <si>
    <t>Remove applied coupon</t>
  </si>
  <si>
    <t>User logged in, coupon already applied</t>
  </si>
  <si>
    <t>1. Click “Remove coupon”</t>
  </si>
  <si>
    <t>Applied coupon</t>
  </si>
  <si>
    <t>Discount removed, total recalculated</t>
  </si>
  <si>
    <t>Apply coupon after changing cart items</t>
  </si>
  <si>
    <t>User logged in, coupon applied</t>
  </si>
  <si>
    <t>1. Change cart quantity
2. Recalculate total</t>
  </si>
  <si>
    <t>Cart updated</t>
  </si>
  <si>
    <t>Discount recalculated correctly</t>
  </si>
  <si>
    <t>Apply coupon with free shipping</t>
  </si>
  <si>
    <t>User logged in, eligible cart</t>
  </si>
  <si>
    <t>1. Enter free shipping coupon</t>
  </si>
  <si>
    <t>Free shipping coupon</t>
  </si>
  <si>
    <t>Shipping fee becomes 0</t>
  </si>
  <si>
    <t>Apply coupon without login</t>
  </si>
  <si>
    <t>1. Go to checkout
2. Enter coupon</t>
  </si>
  <si>
    <t>System requests login before applying coupon</t>
  </si>
  <si>
    <t>Apply coupon at order confirmation</t>
  </si>
  <si>
    <t>1. Place order</t>
  </si>
  <si>
    <t>Discount reflected in order summary</t>
  </si>
  <si>
    <t>OM</t>
  </si>
  <si>
    <t>View product list</t>
  </si>
  <si>
    <t>User is logged in</t>
  </si>
  <si>
    <t>1. Open Marketplace</t>
  </si>
  <si>
    <t>Product list is displayed</t>
  </si>
  <si>
    <t>Oct 22, 2025</t>
  </si>
  <si>
    <t>View product details</t>
  </si>
  <si>
    <t>Product exists</t>
  </si>
  <si>
    <t>1. Click a "Chi Tiết"</t>
  </si>
  <si>
    <t>Product ID</t>
  </si>
  <si>
    <t>Product details are shown</t>
  </si>
  <si>
    <t>Filter products by category</t>
  </si>
  <si>
    <t>Categories exist</t>
  </si>
  <si>
    <t>Select category</t>
  </si>
  <si>
    <t>Products are filtered correctly</t>
  </si>
  <si>
    <t>Search product by name</t>
  </si>
  <si>
    <t>Enter keyword</t>
  </si>
  <si>
    <t>Product name</t>
  </si>
  <si>
    <t>Matching products are displayed</t>
  </si>
  <si>
    <t>Search non-existing product</t>
  </si>
  <si>
    <t>Enter invalid keyword: " Batman"</t>
  </si>
  <si>
    <t>Random text</t>
  </si>
  <si>
    <t>Display "Không có sản phẩm nào được tìm thấy"</t>
  </si>
  <si>
    <t>Add product to cart</t>
  </si>
  <si>
    <t>Product in stock</t>
  </si>
  <si>
    <t>Click “Add to Cart”</t>
  </si>
  <si>
    <t>Quantity = 1</t>
  </si>
  <si>
    <t>Product is added to cart</t>
  </si>
  <si>
    <t>Add out-of-stock product</t>
  </si>
  <si>
    <t>Stock = 0</t>
  </si>
  <si>
    <t>N/A</t>
  </si>
  <si>
    <t>Out of stock, cannot be added to cart.</t>
  </si>
  <si>
    <t>Update cart quantity</t>
  </si>
  <si>
    <t>Product in cart</t>
  </si>
  <si>
    <t>Change quantity</t>
  </si>
  <si>
    <t>Quantity = 3</t>
  </si>
  <si>
    <t>Cart total updates correctly</t>
  </si>
  <si>
    <t>Remove product from cart</t>
  </si>
  <si>
    <t>Click “Clear All”</t>
  </si>
  <si>
    <t>Product removed from cart</t>
  </si>
  <si>
    <t>View shopping cart</t>
  </si>
  <si>
    <t>Cart not empty</t>
  </si>
  <si>
    <t>Open cart page</t>
  </si>
  <si>
    <t>Cart items &amp; total shown</t>
  </si>
  <si>
    <t>Checkout with valid information</t>
  </si>
  <si>
    <t>Enter shipping info</t>
  </si>
  <si>
    <t>Valid address, phone</t>
  </si>
  <si>
    <t>Proceed to payment</t>
  </si>
  <si>
    <t>Checkout with missing address</t>
  </si>
  <si>
    <t>Submit empty address</t>
  </si>
  <si>
    <t>Address = null</t>
  </si>
  <si>
    <t>Validation error shown</t>
  </si>
  <si>
    <t>Cancel pending order</t>
  </si>
  <si>
    <t>Order status = pending</t>
  </si>
  <si>
    <t>Cancel order</t>
  </si>
  <si>
    <t>Order ID</t>
  </si>
  <si>
    <t>Order status = cancelled</t>
  </si>
  <si>
    <t>View order history</t>
  </si>
  <si>
    <t>User has orders</t>
  </si>
  <si>
    <t>Open Order History</t>
  </si>
  <si>
    <t>Order list displayed</t>
  </si>
  <si>
    <t>View order details</t>
  </si>
  <si>
    <t>Order exists</t>
  </si>
  <si>
    <t>Click an order</t>
  </si>
  <si>
    <t>Order details displayed</t>
  </si>
  <si>
    <t xml:space="preserve">Product Management </t>
  </si>
  <si>
    <t>PM</t>
  </si>
  <si>
    <t>1. Open Product Management page</t>
  </si>
  <si>
    <t>Existing products</t>
  </si>
  <si>
    <t>Product list displayed</t>
  </si>
  <si>
    <t>Add new product successfully</t>
  </si>
  <si>
    <t>1. Open Product Management page
2. Click “Add Product” → Fill form → Add</t>
  </si>
  <si>
    <t>Valid product data</t>
  </si>
  <si>
    <t>Product added successfully</t>
  </si>
  <si>
    <t>Add product with missing required fields</t>
  </si>
  <si>
    <t xml:space="preserve">1. Open Product Management page
2. Click “Add Product” → Submit emty form </t>
  </si>
  <si>
    <t>Empty fields</t>
  </si>
  <si>
    <t>Add product with invalid price</t>
  </si>
  <si>
    <t>1. Open Product Management page
2. Click “Add Product” → Enter negative price</t>
  </si>
  <si>
    <t>Price = -100</t>
  </si>
  <si>
    <t>Error message displayed</t>
  </si>
  <si>
    <t>Update product information</t>
  </si>
  <si>
    <t>1. Open Product Management page
2. Click “Edit ” → Update</t>
  </si>
  <si>
    <t>Updated data</t>
  </si>
  <si>
    <t>Product updated successfully</t>
  </si>
  <si>
    <t>Update product with invalid data</t>
  </si>
  <si>
    <t>Invalid data</t>
  </si>
  <si>
    <t>Delete product successfully</t>
  </si>
  <si>
    <t>1. Open Product Management page
2. Click “Delete ” → Confirm</t>
  </si>
  <si>
    <t>Product removed from list</t>
  </si>
  <si>
    <t>Cancel delete product</t>
  </si>
  <si>
    <t>1. Open Product Management page
2. Click “Delete ” → Cancel</t>
  </si>
  <si>
    <t>Product not deleted</t>
  </si>
  <si>
    <t>Products exist</t>
  </si>
  <si>
    <t>Enter keyword "Kali"</t>
  </si>
  <si>
    <t>Matching products displayed</t>
  </si>
  <si>
    <t>Search product with no result</t>
  </si>
  <si>
    <t>Enter invalid keyword " Batman"</t>
  </si>
  <si>
    <t>“No product found” displayed</t>
  </si>
  <si>
    <t>Upload product image successfully</t>
  </si>
  <si>
    <t>Upload valid image</t>
  </si>
  <si>
    <t>JPG/PNG</t>
  </si>
  <si>
    <t>Image uploaded &amp; displayed</t>
  </si>
  <si>
    <t>Upload invalid product image</t>
  </si>
  <si>
    <t>Upload invalid file</t>
  </si>
  <si>
    <t>PDF/EXE</t>
  </si>
  <si>
    <t>View product list pagination</t>
  </si>
  <si>
    <t>Many products exist</t>
  </si>
  <si>
    <t>Navigate pages</t>
  </si>
  <si>
    <t>Page number</t>
  </si>
  <si>
    <t>Correct products shown</t>
  </si>
  <si>
    <t xml:space="preserve">Search &amp; Filter Products </t>
  </si>
  <si>
    <t>SFP</t>
  </si>
  <si>
    <t>Search product by valid name</t>
  </si>
  <si>
    <t>Enter keyword in search box</t>
  </si>
  <si>
    <t>"Kali"</t>
  </si>
  <si>
    <t>Search product by partial name</t>
  </si>
  <si>
    <t>Enter partial keyword</t>
  </si>
  <si>
    <t>"NPK"</t>
  </si>
  <si>
    <t>Related products are displayed</t>
  </si>
  <si>
    <t>Search product with uppercase characters</t>
  </si>
  <si>
    <t>Enter uppercase keyword</t>
  </si>
  <si>
    <t>"KALI"</t>
  </si>
  <si>
    <t>Products are displayed</t>
  </si>
  <si>
    <t>Search product with lowercase characters</t>
  </si>
  <si>
    <t>Enter lowercase keyword</t>
  </si>
  <si>
    <t>"kali"</t>
  </si>
  <si>
    <t>Search product with special characters</t>
  </si>
  <si>
    <t>Enter special characters</t>
  </si>
  <si>
    <t>“@@@###”</t>
  </si>
  <si>
    <t>No products found message</t>
  </si>
  <si>
    <t>“Pesticides”</t>
  </si>
  <si>
    <t>Products of selected category shown</t>
  </si>
  <si>
    <t>Filter products by empty category</t>
  </si>
  <si>
    <t>Select category with no products</t>
  </si>
  <si>
    <t>“Tools”</t>
  </si>
  <si>
    <t>Filter products by price range</t>
  </si>
  <si>
    <t>Set price range</t>
  </si>
  <si>
    <t>100,000 – 300,000 VND</t>
  </si>
  <si>
    <t>Products within range shown</t>
  </si>
  <si>
    <t>Combine search and category filter</t>
  </si>
  <si>
    <t>Search + select category</t>
  </si>
  <si>
    <t>Keyword + category</t>
  </si>
  <si>
    <t>Results match both conditions</t>
  </si>
  <si>
    <t>Search with empty keyword</t>
  </si>
  <si>
    <t>Leave search empty</t>
  </si>
  <si>
    <t>Empty input</t>
  </si>
  <si>
    <t>All products are displayed</t>
  </si>
  <si>
    <t>CPM</t>
  </si>
  <si>
    <t>View coupon list</t>
  </si>
  <si>
    <t>Open Coupon Management page</t>
  </si>
  <si>
    <t>All coupons are displayed</t>
  </si>
  <si>
    <t>Create new coupon with valid data</t>
  </si>
  <si>
    <t>Click “Add Coupon” and submit form</t>
  </si>
  <si>
    <t>Code=SAVE10, 10%</t>
  </si>
  <si>
    <t>Coupon created successfully</t>
  </si>
  <si>
    <t>Create coupon with duplicate code</t>
  </si>
  <si>
    <t>Coupon code exists</t>
  </si>
  <si>
    <t>Create coupon</t>
  </si>
  <si>
    <t>Code=SAVE10</t>
  </si>
  <si>
    <t>Displayed "Failed to add coupon</t>
  </si>
  <si>
    <t>Create coupon with missing required fields</t>
  </si>
  <si>
    <t>Submit empty form</t>
  </si>
  <si>
    <t>Create coupon with invalid discount value</t>
  </si>
  <si>
    <t>Enter discount &gt; 100%</t>
  </si>
  <si>
    <t>Discount=150%</t>
  </si>
  <si>
    <t>Create coupon with past expiration date</t>
  </si>
  <si>
    <t>Set expired date</t>
  </si>
  <si>
    <t>Date &gt; today</t>
  </si>
  <si>
    <t>Update coupon information</t>
  </si>
  <si>
    <t>Coupon exists</t>
  </si>
  <si>
    <t>Edit coupon</t>
  </si>
  <si>
    <t>New discount</t>
  </si>
  <si>
    <t>Coupon updated successfully</t>
  </si>
  <si>
    <t>Disable active coupon</t>
  </si>
  <si>
    <t>Coupon active</t>
  </si>
  <si>
    <t>Set status = inactive</t>
  </si>
  <si>
    <t>Inactive</t>
  </si>
  <si>
    <t>Coupon cannot be used</t>
  </si>
  <si>
    <t>Delete coupon</t>
  </si>
  <si>
    <t>Coupon ID</t>
  </si>
  <si>
    <t>Coupon removed</t>
  </si>
  <si>
    <t>Search coupon by code</t>
  </si>
  <si>
    <t>Coupons exist</t>
  </si>
  <si>
    <t>Enter coupon code</t>
  </si>
  <si>
    <t>LEAF10</t>
  </si>
  <si>
    <t>Matching coupon displayed</t>
  </si>
  <si>
    <t>Verify admin can create a new coupon successfully</t>
  </si>
  <si>
    <t>1. Admin logged in.
2. Coupon management page accessible.
3. “Create coupon” button visible.</t>
  </si>
  <si>
    <t>1. Go to Coupon Management.
2. Click “Create Coupon”.
3. Enter coupon</t>
  </si>
  <si>
    <t>Code: SAVE10, Discount: 10%, Validity: Today–Next 7 days</t>
  </si>
  <si>
    <t>Coupon appears in coupon list with correct information.</t>
  </si>
  <si>
    <t>Verify admin cannot create a coupon with a duplicate code</t>
  </si>
  <si>
    <t>1. Admin logged in.
2. A coupon with code “SAVE10” already exists.</t>
  </si>
  <si>
    <t>1. Click “Create Coupon”.
2. Enter coupon code “SAVE10”.
3. Fill other fields.
4. Click “Save”.</t>
  </si>
  <si>
    <t>Code = SAVE10</t>
  </si>
  <si>
    <t>System shows error “Coupon code already exists”. Coupon not created.</t>
  </si>
  <si>
    <t>Verify admin can update coupon information</t>
  </si>
  <si>
    <t>1. Admin logged in.
2. At least one coupon exists.
3. Edit button visible.</t>
  </si>
  <si>
    <t>1. Click “Edit” on a coupon.
2. Modify discount or date.
3. Click “Update”.</t>
  </si>
  <si>
    <t>Discount changed 10% → 15%</t>
  </si>
  <si>
    <t>Coupon updates successfully and new information appears in list.</t>
  </si>
  <si>
    <t>Verify coupon deletion works</t>
  </si>
  <si>
    <t>1. Admin logged in.
2. At least one coupon exists.</t>
  </si>
  <si>
    <t>1. Click “Delete”.
2. Confirm deletion in popup.
3. Observe coupon list refresh.</t>
  </si>
  <si>
    <t>Coupon disappears from list.</t>
  </si>
  <si>
    <t>Verify valid coupon works inside checkout page</t>
  </si>
  <si>
    <t>1. User logged in.
2. Product in cart.
3. Valid coupon exists.
4. Coupon is within date range.</t>
  </si>
  <si>
    <t>1. Open Checkout.
2. Enter coupon code.
3. Click “Apply Coupon”.</t>
  </si>
  <si>
    <t>Coupon: SAVE10, Discount: 10%</t>
  </si>
  <si>
    <t>Discount applied correctly. Total updates based on coupon value.</t>
  </si>
  <si>
    <t>Validate system blocks expired coupon usage</t>
  </si>
  <si>
    <t>1. Today's date &gt; coupon end date.
2. Coupon exists but expired.
3. Checkout page open.</t>
  </si>
  <si>
    <t>1. Enter expired coupon code.
2. Click “Apply Coupon”.</t>
  </si>
  <si>
    <t>Coupon: OLD20 (expired)</t>
  </si>
  <si>
    <t>System shows “Coupon expired” and does not apply discount.</t>
  </si>
  <si>
    <t>Verify coupon with minimum order requirement only applies when amount is sufficient</t>
  </si>
  <si>
    <t>1. Coupon requires minimum order ≥ 200,000 VND.
2. Cart total &lt; 200,000 VND.</t>
  </si>
  <si>
    <t>1. Open Checkout page.
2. Enter coupon with minimum requirement.
3. Click “Apply Coupon”.</t>
  </si>
  <si>
    <t>Coupon: MIN200K</t>
  </si>
  <si>
    <t>System shows “Order total does not meet requirement”.</t>
  </si>
  <si>
    <t>Verify single-use coupon cannot be applied again by same user</t>
  </si>
  <si>
    <t>1. Coupon with “one-time-use” exists.
2. User has already used it in past.</t>
  </si>
  <si>
    <t>1. Open Checkout.
2. Enter the same coupon.
3. Click “Apply Coupon”.</t>
  </si>
  <si>
    <t>Coupon: ONETIME50</t>
  </si>
  <si>
    <t>System shows “Coupon already used”.</t>
  </si>
  <si>
    <t>Verify system calculates discount amount correctly</t>
  </si>
  <si>
    <t>1. Coupon value = 20%.
2. Cart total = 100,000 VND.
3. User logged in.</t>
  </si>
  <si>
    <t>1. Apply coupon.
2. Observe updated price.</t>
  </si>
  <si>
    <t>Coupon: SAVE20</t>
  </si>
  <si>
    <t>Discount = 20,000 VND; final total = 80,000 VND.</t>
  </si>
  <si>
    <t>Verify invalid coupon code format is rejected</t>
  </si>
  <si>
    <t>1. User logged in.
2. Checkout page open.2. User has already used it in past.</t>
  </si>
  <si>
    <t>1. Enter invalid coupon (e.g., special characters).
2. Click “Apply Coupon”.</t>
  </si>
  <si>
    <t>Code: “@$%!?”</t>
  </si>
  <si>
    <t>System shows “Invalid coupon format”.</t>
  </si>
  <si>
    <t>SC</t>
  </si>
  <si>
    <t>Add product to shopping cart</t>
  </si>
  <si>
    <t>1. User logged in
2. Product in stock</t>
  </si>
  <si>
    <t>Product added to cart</t>
  </si>
  <si>
    <t>Oct 18, 2025</t>
  </si>
  <si>
    <t>Add multiple products to cart</t>
  </si>
  <si>
    <t>Add different products</t>
  </si>
  <si>
    <t>All products added to cart</t>
  </si>
  <si>
    <t>Increase product quantity</t>
  </si>
  <si>
    <t>Product already in cart</t>
  </si>
  <si>
    <t>ncrease quantity</t>
  </si>
  <si>
    <t>Quantity updated correctly</t>
  </si>
  <si>
    <t>Decrease product quantity</t>
  </si>
  <si>
    <t>Decrease quantity</t>
  </si>
  <si>
    <t>Cart items and total shown</t>
  </si>
  <si>
    <t>Cart total price calculation</t>
  </si>
  <si>
    <t>Multiple products in cart</t>
  </si>
  <si>
    <t>View cart</t>
  </si>
  <si>
    <t>Prices &amp; quantities</t>
  </si>
  <si>
    <t>Total calculated correctly</t>
  </si>
  <si>
    <t>Cart persists after page refresh</t>
  </si>
  <si>
    <t>Cart data retained</t>
  </si>
  <si>
    <t>Cart cleared after order placement</t>
  </si>
  <si>
    <t>Order completed</t>
  </si>
  <si>
    <t>Place order</t>
  </si>
  <si>
    <t>Cart is emptied</t>
  </si>
  <si>
    <t>EDF</t>
  </si>
  <si>
    <t>View profile information</t>
  </si>
  <si>
    <t>Farmer logged in</t>
  </si>
  <si>
    <t>Click " Setting"</t>
  </si>
  <si>
    <t>Current profile data displayed</t>
  </si>
  <si>
    <t>Update profile with valid data</t>
  </si>
  <si>
    <t>Edit and save profile</t>
  </si>
  <si>
    <t>Valid name, phone, address</t>
  </si>
  <si>
    <t>Profile updated successfully</t>
  </si>
  <si>
    <t>Update profile with empty required fields</t>
  </si>
  <si>
    <t>Clear required fields and save</t>
  </si>
  <si>
    <t>Name = empty</t>
  </si>
  <si>
    <t>Update profile with invalid phone number</t>
  </si>
  <si>
    <t>Enter invalid phone</t>
  </si>
  <si>
    <t>Phone = “123abc”</t>
  </si>
  <si>
    <t>Update profile with invalid email format</t>
  </si>
  <si>
    <t>Enter invalid email</t>
  </si>
  <si>
    <t>Email = “abc@”</t>
  </si>
  <si>
    <t>Change avatar successfully</t>
  </si>
  <si>
    <t>Upload new avatar</t>
  </si>
  <si>
    <t>JPG/PNG image</t>
  </si>
  <si>
    <t>Avatar updated and displayed</t>
  </si>
  <si>
    <t>Upload unsupported avatar format</t>
  </si>
  <si>
    <t>Upload avatar</t>
  </si>
  <si>
    <t>File = .exe</t>
  </si>
  <si>
    <t>Error message shown</t>
  </si>
  <si>
    <t>Upload avatar exceeding size limit</t>
  </si>
  <si>
    <t>Upload large image</t>
  </si>
  <si>
    <t>&gt; size limit</t>
  </si>
  <si>
    <t>Save profile without changes</t>
  </si>
  <si>
    <t>Click “Save”</t>
  </si>
  <si>
    <t>Update successfully</t>
  </si>
  <si>
    <t>Update shipping address</t>
  </si>
  <si>
    <t>Edit address field</t>
  </si>
  <si>
    <t>New address</t>
  </si>
  <si>
    <t>Address updated successfully</t>
  </si>
  <si>
    <t>Update phone number</t>
  </si>
  <si>
    <t>Edit phone field</t>
  </si>
  <si>
    <t>Valid phone</t>
  </si>
  <si>
    <t>Phone updated successfully</t>
  </si>
  <si>
    <t>Update password</t>
  </si>
  <si>
    <t>Edit password field</t>
  </si>
  <si>
    <t>Valid password</t>
  </si>
  <si>
    <t>Password updated successfully</t>
  </si>
  <si>
    <t>EDA</t>
  </si>
  <si>
    <t>View admin profile information</t>
  </si>
  <si>
    <t>Open "Setting"</t>
  </si>
  <si>
    <t>Current admin profile data displayed</t>
  </si>
  <si>
    <t>Update admin profile with valid data</t>
  </si>
  <si>
    <t>Valid name, phone, email</t>
  </si>
  <si>
    <t>Clear required fields</t>
  </si>
  <si>
    <t>Email = “admin@”</t>
  </si>
  <si>
    <t>JPG/PNG file</t>
  </si>
  <si>
    <t>Upload large file</t>
  </si>
  <si>
    <t>Click “Save  Changes”</t>
  </si>
  <si>
    <t>Updated successfully</t>
  </si>
  <si>
    <t>Change password with valid current password</t>
  </si>
  <si>
    <t>1. Enter current password 
2. Enter new password 
3. Confirm</t>
  </si>
  <si>
    <t>Current: Admin@123, 
New: Admin@456</t>
  </si>
  <si>
    <t>Change password with incorrect current password</t>
  </si>
  <si>
    <t>Enter wrong current password</t>
  </si>
  <si>
    <t>Curren: "3107"</t>
  </si>
  <si>
    <t>Displayed "Incorrect old password"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</si>
</sst>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11">
    <font>
      <sz val="11.0"/>
      <color theme="1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1.0"/>
      <color theme="1"/>
      <name val="Arial"/>
    </font>
    <font>
      <b/>
      <sz val="13.0"/>
      <color rgb="FF000000"/>
      <name val="Times New Roman"/>
    </font>
    <font>
      <sz val="14.0"/>
      <color theme="1"/>
      <name val="Times New Roman"/>
    </font>
    <font/>
    <font>
      <sz val="13.0"/>
      <color rgb="FF000000"/>
      <name val="Times New Roman"/>
    </font>
    <font>
      <sz val="13.0"/>
      <color rgb="FF1F1F1F"/>
      <name val="Times New Roman"/>
    </font>
    <font>
      <sz val="13.0"/>
      <color rgb="FF0D0D0D"/>
      <name val="Times New Roman"/>
    </font>
    <font>
      <sz val="1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00FFFF"/>
        <bgColor rgb="FF00FFFF"/>
      </patternFill>
    </fill>
    <fill>
      <patternFill patternType="solid">
        <fgColor rgb="FFB7DEE8"/>
        <bgColor rgb="FFB7DEE8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  <fill>
      <patternFill patternType="solid">
        <fgColor rgb="FFE36C09"/>
        <bgColor rgb="FFE36C09"/>
      </patternFill>
    </fill>
    <fill>
      <patternFill patternType="solid">
        <fgColor rgb="FFE05720"/>
        <bgColor rgb="FFE0572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3" numFmtId="0" xfId="0" applyBorder="1" applyFill="1" applyFont="1"/>
    <xf borderId="1" fillId="4" fontId="4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0" fillId="0" fontId="3" numFmtId="0" xfId="0" applyFont="1"/>
    <xf borderId="2" fillId="2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5" fontId="2" numFmtId="0" xfId="0" applyAlignment="1" applyBorder="1" applyFill="1" applyFont="1">
      <alignment horizontal="center"/>
    </xf>
    <xf borderId="5" fillId="5" fontId="2" numFmtId="164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center"/>
    </xf>
    <xf borderId="1" fillId="0" fontId="2" numFmtId="0" xfId="0" applyBorder="1" applyFont="1"/>
    <xf borderId="6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1" fillId="6" fontId="8" numFmtId="0" xfId="0" applyAlignment="1" applyBorder="1" applyFill="1" applyFont="1">
      <alignment horizontal="center"/>
    </xf>
    <xf borderId="9" fillId="4" fontId="1" numFmtId="0" xfId="0" applyAlignment="1" applyBorder="1" applyFont="1">
      <alignment vertical="center"/>
    </xf>
    <xf borderId="6" fillId="0" fontId="6" numFmtId="0" xfId="0" applyBorder="1" applyFont="1"/>
    <xf borderId="10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0" fillId="0" fontId="5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4" fontId="1" numFmtId="0" xfId="0" applyAlignment="1" applyBorder="1" applyFont="1">
      <alignment vertical="center"/>
    </xf>
    <xf borderId="12" fillId="0" fontId="6" numFmtId="0" xfId="0" applyBorder="1" applyFont="1"/>
    <xf borderId="13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vertical="center"/>
    </xf>
    <xf borderId="15" fillId="0" fontId="6" numFmtId="0" xfId="0" applyBorder="1" applyFont="1"/>
    <xf borderId="7" fillId="0" fontId="6" numFmtId="0" xfId="0" applyBorder="1" applyFont="1"/>
    <xf borderId="1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2" fillId="7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1" fillId="8" fontId="1" numFmtId="0" xfId="0" applyAlignment="1" applyBorder="1" applyFill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6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shrinkToFit="0" vertical="center" wrapText="1"/>
    </xf>
    <xf borderId="16" fillId="0" fontId="6" numFmtId="0" xfId="0" applyBorder="1" applyFont="1"/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5" fillId="6" fontId="2" numFmtId="0" xfId="0" applyAlignment="1" applyBorder="1" applyFont="1">
      <alignment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7" fillId="10" fontId="1" numFmtId="0" xfId="0" applyAlignment="1" applyBorder="1" applyFill="1" applyFont="1">
      <alignment horizontal="center" shrinkToFit="0" vertical="center" wrapText="1"/>
    </xf>
    <xf borderId="5" fillId="10" fontId="1" numFmtId="0" xfId="0" applyAlignment="1" applyBorder="1" applyFont="1">
      <alignment horizontal="center" shrinkToFit="0" vertical="center" wrapText="1"/>
    </xf>
    <xf borderId="17" fillId="8" fontId="1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9" fillId="0" fontId="3" numFmtId="0" xfId="0" applyAlignment="1" applyBorder="1" applyFont="1">
      <alignment horizontal="center"/>
    </xf>
    <xf borderId="1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E05720"/>
          <bgColor rgb="FFE0572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PASS AND FAIL</a:t>
            </a:r>
          </a:p>
        </c:rich>
      </c:tx>
      <c:layout>
        <c:manualLayout>
          <c:xMode val="edge"/>
          <c:yMode val="edge"/>
          <c:x val="0.39947769028871394"/>
          <c:y val="0.0285187721850544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Pass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Report!$E$3</c:f>
            </c:strRef>
          </c:cat>
          <c:val>
            <c:numRef>
              <c:f>Report!$F$3</c:f>
              <c:numCache/>
            </c:numRef>
          </c:val>
        </c:ser>
        <c:ser>
          <c:idx val="1"/>
          <c:order val="1"/>
          <c:tx>
            <c:v>Fail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Report!$E$3</c:f>
            </c:strRef>
          </c:cat>
          <c:val>
            <c:numRef>
              <c:f>Report!$G$3</c:f>
              <c:numCache/>
            </c:numRef>
          </c:val>
        </c:ser>
        <c:axId val="544643901"/>
        <c:axId val="988303773"/>
      </c:barChart>
      <c:catAx>
        <c:axId val="544643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8303773"/>
      </c:catAx>
      <c:valAx>
        <c:axId val="988303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46439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4</xdr:row>
      <xdr:rowOff>66675</xdr:rowOff>
    </xdr:from>
    <xdr:ext cx="5715000" cy="2762250"/>
    <xdr:graphicFrame>
      <xdr:nvGraphicFramePr>
        <xdr:cNvPr id="1580216467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1SE.03_Test%20Case%20Sprint%201_Ver1.1%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 report"/>
      <sheetName val="Sign Up"/>
      <sheetName val="Log In"/>
      <sheetName val="Sign In with Google"/>
      <sheetName val="Log Out"/>
      <sheetName val="Forget Password"/>
      <sheetName val="Home Page"/>
      <sheetName val="View Profile(User)"/>
      <sheetName val="View Profile(Admi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55.63"/>
    <col customWidth="1" min="3" max="3" width="28.75"/>
    <col customWidth="1" min="4" max="4" width="29.0"/>
    <col customWidth="1" min="7" max="7" width="24.0"/>
  </cols>
  <sheetData>
    <row r="2" ht="15.0" customHeight="1">
      <c r="A2" s="1" t="s">
        <v>0</v>
      </c>
      <c r="B2" s="2" t="s">
        <v>1</v>
      </c>
      <c r="D2" s="3"/>
      <c r="E2" s="4" t="s">
        <v>2</v>
      </c>
      <c r="F2" s="4" t="s">
        <v>3</v>
      </c>
      <c r="G2" s="4" t="s">
        <v>4</v>
      </c>
    </row>
    <row r="3" ht="15.0" customHeight="1">
      <c r="A3" s="1" t="s">
        <v>5</v>
      </c>
      <c r="B3" s="2" t="s">
        <v>6</v>
      </c>
      <c r="D3" s="3" t="s">
        <v>7</v>
      </c>
      <c r="E3" s="5">
        <f>'User Management'!C6+'Upload image'!C6+'View Analysis Results'!C6+'Treatment Recommendations'!C6+'Firebase Integration'!C6+'History Analysis'!C6+'Category Management'!C6+'Apply Coupon Code at Checkout'!C6+'Online Marketplace'!C6+'Product Management'!C6+'Search &amp; Filter Products'!C6+'Coupon Management'!C6+'Shopping Cart'!C6+'Edit Profile(Farmer)'!C6+'Edit Profile(Admin) '!C6</f>
        <v>159</v>
      </c>
      <c r="F3" s="5">
        <f>'User Management'!D6+'Upload image'!D6+'View Analysis Results'!D6+'Treatment Recommendations'!D6+'Firebase Integration'!D6+'History Analysis'!D6+'Category Management'!D6+'Apply Coupon Code at Checkout'!D6+'Online Marketplace'!D6+'Product Management'!D6+'Search &amp; Filter Products'!D6+'Coupon Management'!D6+'Shopping Cart'!D6+'Edit Profile(Farmer)'!D6+'Edit Profile(Admin) '!D6</f>
        <v>152</v>
      </c>
      <c r="G3" s="5">
        <f>'User Management'!E6+'Upload image'!E6+'View Analysis Results'!E6+'Treatment Recommendations'!E6+'Firebase Integration'!E6+'History Analysis'!E6+'Category Management'!E6+'Apply Coupon Code at Checkout'!E6+'Online Marketplace'!E6+'Product Management'!E6+'Search &amp; Filter Products'!E6+'Coupon Management'!E6+'Shopping Cart'!E6+'Edit Profile(Farmer)'!E6+'Edit Profile(Admin) '!E6</f>
        <v>7</v>
      </c>
    </row>
    <row r="4" ht="15.0" customHeight="1">
      <c r="A4" s="1" t="s">
        <v>8</v>
      </c>
      <c r="B4" s="6"/>
      <c r="D4" s="3" t="s">
        <v>9</v>
      </c>
      <c r="E4" s="5">
        <f>'User Management'!C8+'Upload image'!C8+'View Analysis Results'!C8+'Treatment Recommendations'!C8+'Firebase Integration'!C8+'History Analysis'!C8+'Category Management'!C8+'Apply Coupon Code at Checkout'!C8+'Online Marketplace'!C8+'Product Management'!C8+'Search &amp; Filter Products'!C8+'Coupon Management'!C8+'Shopping Cart'!C8+'Edit Profile(Farmer)'!C8+'Edit Profile(Admin) '!C8</f>
        <v>159</v>
      </c>
      <c r="F4" s="5">
        <f>'User Management'!D8+'Upload image'!D8+'View Analysis Results'!D8+'Treatment Recommendations'!D8+'Firebase Integration'!D8+'History Analysis'!D8+'Category Management'!D8+'Apply Coupon Code at Checkout'!D8+'Online Marketplace'!D8+'Product Management'!D8+'Search &amp; Filter Products'!D8+'Coupon Management'!D8+'Shopping Cart'!D8+'Edit Profile(Farmer)'!D8+'Edit Profile(Admin) '!D8</f>
        <v>153</v>
      </c>
      <c r="G4" s="5">
        <f>'User Management'!E8+'Upload image'!E8+'View Analysis Results'!E8+'Treatment Recommendations'!E8+'Firebase Integration'!E8+'History Analysis'!E8+'Category Management'!E8+'Apply Coupon Code at Checkout'!E8+'Online Marketplace'!E8+'Product Management'!E8+'Search &amp; Filter Products'!E8+'Coupon Management'!E8+'Shopping Cart'!E8+'Edit Profile(Farmer)'!E8+'Edit Profile(Admin) '!E8</f>
        <v>6</v>
      </c>
    </row>
    <row r="5" ht="15.0" customHeight="1">
      <c r="A5" s="7" t="s">
        <v>10</v>
      </c>
      <c r="B5" s="8" t="s">
        <v>11</v>
      </c>
    </row>
    <row r="6" ht="15.0" customHeight="1">
      <c r="A6" s="9"/>
      <c r="B6" s="9"/>
    </row>
    <row r="7" ht="15.0" customHeight="1">
      <c r="A7" s="10" t="s">
        <v>12</v>
      </c>
      <c r="B7" s="11" t="s">
        <v>13</v>
      </c>
    </row>
    <row r="8" ht="15.0" customHeight="1">
      <c r="A8" s="12"/>
      <c r="B8" s="11" t="s">
        <v>14</v>
      </c>
    </row>
    <row r="9">
      <c r="A9" s="12"/>
      <c r="B9" s="11" t="s">
        <v>15</v>
      </c>
    </row>
    <row r="10" ht="24.0" customHeight="1">
      <c r="A10" s="12"/>
      <c r="B10" s="11" t="s">
        <v>16</v>
      </c>
    </row>
    <row r="11" ht="15.0" customHeight="1">
      <c r="A11" s="13"/>
      <c r="B11" s="11" t="s">
        <v>17</v>
      </c>
    </row>
    <row r="12" ht="15.0" customHeight="1">
      <c r="A12" s="10" t="s">
        <v>18</v>
      </c>
      <c r="B12" s="8" t="s">
        <v>3</v>
      </c>
    </row>
    <row r="13" ht="15.0" customHeight="1">
      <c r="A13" s="12"/>
      <c r="B13" s="8" t="s">
        <v>4</v>
      </c>
    </row>
    <row r="14" ht="15.0" customHeight="1">
      <c r="A14" s="12"/>
      <c r="B14" s="8" t="s">
        <v>19</v>
      </c>
    </row>
    <row r="15" ht="15.0" customHeight="1">
      <c r="A15" s="13"/>
      <c r="B15" s="8" t="s">
        <v>20</v>
      </c>
    </row>
    <row r="20" ht="15.0" customHeight="1">
      <c r="A20" s="14" t="s">
        <v>21</v>
      </c>
      <c r="B20" s="14" t="s">
        <v>22</v>
      </c>
      <c r="C20" s="14" t="s">
        <v>23</v>
      </c>
      <c r="D20" s="14" t="s">
        <v>24</v>
      </c>
      <c r="E20" s="15" t="s">
        <v>25</v>
      </c>
      <c r="F20" s="14" t="s">
        <v>26</v>
      </c>
      <c r="G20" s="14" t="s">
        <v>12</v>
      </c>
    </row>
    <row r="21" ht="15.0" customHeight="1">
      <c r="A21" s="2">
        <v>1.0</v>
      </c>
      <c r="B21" s="2" t="s">
        <v>27</v>
      </c>
      <c r="C21" s="16" t="s">
        <v>28</v>
      </c>
      <c r="D21" s="16" t="s">
        <v>28</v>
      </c>
      <c r="E21" s="17" t="s">
        <v>29</v>
      </c>
      <c r="F21" s="17" t="s">
        <v>29</v>
      </c>
      <c r="G21" s="18" t="s">
        <v>15</v>
      </c>
    </row>
    <row r="22" ht="15.0" customHeight="1">
      <c r="A22" s="2">
        <v>2.0</v>
      </c>
      <c r="B22" s="16" t="s">
        <v>30</v>
      </c>
      <c r="C22" s="19" t="s">
        <v>31</v>
      </c>
      <c r="D22" s="19" t="s">
        <v>31</v>
      </c>
      <c r="E22" s="17" t="s">
        <v>29</v>
      </c>
      <c r="F22" s="17" t="s">
        <v>29</v>
      </c>
      <c r="G22" s="18" t="s">
        <v>15</v>
      </c>
    </row>
    <row r="23" ht="15.0" customHeight="1">
      <c r="A23" s="2">
        <v>3.0</v>
      </c>
      <c r="B23" s="20" t="s">
        <v>32</v>
      </c>
      <c r="C23" s="21" t="s">
        <v>33</v>
      </c>
      <c r="D23" s="21" t="s">
        <v>33</v>
      </c>
      <c r="E23" s="17" t="s">
        <v>29</v>
      </c>
      <c r="F23" s="17" t="s">
        <v>29</v>
      </c>
      <c r="G23" s="18" t="s">
        <v>15</v>
      </c>
    </row>
    <row r="24" ht="15.0" customHeight="1">
      <c r="A24" s="2">
        <v>4.0</v>
      </c>
      <c r="B24" s="20" t="s">
        <v>34</v>
      </c>
      <c r="C24" s="21" t="s">
        <v>35</v>
      </c>
      <c r="D24" s="21" t="s">
        <v>35</v>
      </c>
      <c r="E24" s="17" t="s">
        <v>36</v>
      </c>
      <c r="F24" s="17" t="s">
        <v>36</v>
      </c>
      <c r="G24" s="18" t="s">
        <v>15</v>
      </c>
    </row>
    <row r="25" ht="15.0" customHeight="1">
      <c r="A25" s="2">
        <v>5.0</v>
      </c>
      <c r="B25" s="20" t="s">
        <v>37</v>
      </c>
      <c r="C25" s="22" t="s">
        <v>38</v>
      </c>
      <c r="D25" s="21" t="s">
        <v>38</v>
      </c>
      <c r="E25" s="17" t="s">
        <v>36</v>
      </c>
      <c r="F25" s="17" t="s">
        <v>36</v>
      </c>
      <c r="G25" s="18" t="s">
        <v>14</v>
      </c>
    </row>
    <row r="26" ht="15.0" customHeight="1">
      <c r="A26" s="2">
        <v>6.0</v>
      </c>
      <c r="B26" s="23" t="s">
        <v>39</v>
      </c>
      <c r="C26" s="2" t="s">
        <v>40</v>
      </c>
      <c r="D26" s="24" t="s">
        <v>40</v>
      </c>
      <c r="E26" s="17" t="s">
        <v>36</v>
      </c>
      <c r="F26" s="17" t="s">
        <v>36</v>
      </c>
      <c r="G26" s="18" t="s">
        <v>15</v>
      </c>
    </row>
    <row r="27" ht="15.0" customHeight="1">
      <c r="A27" s="2">
        <v>7.0</v>
      </c>
      <c r="B27" s="23" t="s">
        <v>41</v>
      </c>
      <c r="C27" s="16" t="s">
        <v>42</v>
      </c>
      <c r="D27" s="25" t="s">
        <v>42</v>
      </c>
      <c r="E27" s="17" t="s">
        <v>43</v>
      </c>
      <c r="F27" s="17" t="s">
        <v>43</v>
      </c>
      <c r="G27" s="18" t="s">
        <v>15</v>
      </c>
    </row>
    <row r="28" ht="15.0" customHeight="1">
      <c r="A28" s="2">
        <v>8.0</v>
      </c>
      <c r="B28" s="2" t="s">
        <v>44</v>
      </c>
      <c r="C28" s="26" t="s">
        <v>45</v>
      </c>
      <c r="D28" s="2" t="s">
        <v>45</v>
      </c>
      <c r="E28" s="17" t="s">
        <v>43</v>
      </c>
      <c r="F28" s="17" t="s">
        <v>43</v>
      </c>
      <c r="G28" s="18" t="s">
        <v>15</v>
      </c>
    </row>
    <row r="29" ht="15.0" customHeight="1">
      <c r="A29" s="2">
        <v>9.0</v>
      </c>
      <c r="B29" s="2" t="s">
        <v>46</v>
      </c>
      <c r="C29" s="16" t="s">
        <v>47</v>
      </c>
      <c r="D29" s="16" t="s">
        <v>47</v>
      </c>
      <c r="E29" s="17" t="s">
        <v>43</v>
      </c>
      <c r="F29" s="17" t="s">
        <v>48</v>
      </c>
      <c r="G29" s="18" t="s">
        <v>15</v>
      </c>
    </row>
    <row r="30" ht="15.0" customHeight="1">
      <c r="A30" s="2">
        <v>10.0</v>
      </c>
      <c r="B30" s="2" t="s">
        <v>49</v>
      </c>
      <c r="C30" s="27" t="s">
        <v>50</v>
      </c>
      <c r="D30" s="27" t="s">
        <v>50</v>
      </c>
      <c r="E30" s="17" t="s">
        <v>48</v>
      </c>
      <c r="F30" s="17" t="s">
        <v>48</v>
      </c>
      <c r="G30" s="18" t="s">
        <v>15</v>
      </c>
    </row>
    <row r="31" ht="15.0" customHeight="1">
      <c r="A31" s="2">
        <v>11.0</v>
      </c>
      <c r="B31" s="2" t="s">
        <v>51</v>
      </c>
      <c r="C31" s="27" t="s">
        <v>52</v>
      </c>
      <c r="D31" s="27" t="s">
        <v>52</v>
      </c>
      <c r="E31" s="17" t="s">
        <v>48</v>
      </c>
      <c r="F31" s="17" t="s">
        <v>48</v>
      </c>
      <c r="G31" s="18" t="s">
        <v>15</v>
      </c>
    </row>
    <row r="32" ht="15.0" customHeight="1">
      <c r="A32" s="2">
        <v>12.0</v>
      </c>
      <c r="B32" s="2" t="s">
        <v>53</v>
      </c>
      <c r="C32" s="27" t="s">
        <v>54</v>
      </c>
      <c r="D32" s="27" t="s">
        <v>54</v>
      </c>
      <c r="E32" s="17" t="s">
        <v>48</v>
      </c>
      <c r="F32" s="17" t="s">
        <v>55</v>
      </c>
      <c r="G32" s="18" t="s">
        <v>15</v>
      </c>
    </row>
    <row r="33" ht="15.0" customHeight="1">
      <c r="A33" s="2">
        <v>13.0</v>
      </c>
      <c r="B33" s="2" t="s">
        <v>56</v>
      </c>
      <c r="C33" s="27" t="s">
        <v>57</v>
      </c>
      <c r="D33" s="27" t="s">
        <v>57</v>
      </c>
      <c r="E33" s="17" t="s">
        <v>48</v>
      </c>
      <c r="F33" s="17" t="s">
        <v>55</v>
      </c>
      <c r="G33" s="18" t="s">
        <v>15</v>
      </c>
    </row>
    <row r="34" ht="15.0" customHeight="1">
      <c r="A34" s="2">
        <v>14.0</v>
      </c>
      <c r="B34" s="2" t="s">
        <v>58</v>
      </c>
      <c r="C34" s="27" t="s">
        <v>59</v>
      </c>
      <c r="D34" s="27" t="s">
        <v>59</v>
      </c>
      <c r="E34" s="17" t="s">
        <v>55</v>
      </c>
      <c r="F34" s="17" t="s">
        <v>60</v>
      </c>
      <c r="G34" s="18" t="s">
        <v>15</v>
      </c>
    </row>
    <row r="35" ht="15.0" customHeight="1">
      <c r="A35" s="2">
        <v>15.0</v>
      </c>
      <c r="B35" s="2" t="s">
        <v>61</v>
      </c>
      <c r="C35" s="27" t="s">
        <v>62</v>
      </c>
      <c r="D35" s="27" t="s">
        <v>62</v>
      </c>
      <c r="E35" s="17" t="s">
        <v>55</v>
      </c>
      <c r="F35" s="17" t="s">
        <v>60</v>
      </c>
      <c r="G35" s="18" t="s">
        <v>15</v>
      </c>
    </row>
  </sheetData>
  <mergeCells count="2">
    <mergeCell ref="A7:A11"/>
    <mergeCell ref="A12:A15"/>
  </mergeCells>
  <conditionalFormatting sqref="E20:F20">
    <cfRule type="timePeriod" dxfId="0" priority="1" timePeriod="today"/>
  </conditionalFormatting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88"/>
    <col customWidth="1" min="3" max="3" width="19.13"/>
    <col customWidth="1" min="4" max="4" width="33.38"/>
    <col customWidth="1" min="5" max="5" width="36.13"/>
    <col customWidth="1" min="6" max="6" width="50.5"/>
    <col customWidth="1" min="7" max="7" width="44.13"/>
    <col customWidth="1" min="8" max="8" width="55.75"/>
    <col customWidth="1" min="9" max="9" width="20.0"/>
    <col customWidth="1" min="10" max="10" width="16.75"/>
    <col customWidth="1" min="11" max="11" width="14.25"/>
    <col customWidth="1" min="12" max="12" width="16.88"/>
    <col customWidth="1" min="13" max="13" width="30.0"/>
  </cols>
  <sheetData>
    <row r="1">
      <c r="A1" s="28" t="s">
        <v>63</v>
      </c>
      <c r="B1" s="29"/>
      <c r="C1" s="30" t="s">
        <v>64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66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COUNTIF($J$12:$J$108, "&lt;&gt;")</f>
        <v>9</v>
      </c>
      <c r="D6" s="41">
        <f>COUNTIF($J$12:$J$182, "PASS")</f>
        <v>8</v>
      </c>
      <c r="E6" s="41">
        <f>COUNTIF($J$12:$J$182, "FAIL")</f>
        <v>1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COUNTIF($M$12:$M$482, "&lt;&gt;")</f>
        <v>9</v>
      </c>
      <c r="D8" s="41">
        <f>COUNTIF($L$12:$L$211, "PASS")</f>
        <v>9</v>
      </c>
      <c r="E8" s="41">
        <v>0.0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ht="94.5" customHeight="1">
      <c r="A12" s="40">
        <v>1.0</v>
      </c>
      <c r="B12" s="44" t="str">
        <f t="shared" ref="B12:B20" si="1">CONCATENATE($C$2, " - ", A12)</f>
        <v>UM  - 1</v>
      </c>
      <c r="C12" s="44" t="str">
        <f t="shared" ref="C12:C20" si="2">$C$1</f>
        <v>User Management </v>
      </c>
      <c r="D12" s="45" t="s">
        <v>82</v>
      </c>
      <c r="E12" s="46" t="s">
        <v>83</v>
      </c>
      <c r="F12" s="47" t="s">
        <v>84</v>
      </c>
      <c r="G12" s="48" t="s">
        <v>85</v>
      </c>
      <c r="H12" s="49" t="s">
        <v>86</v>
      </c>
      <c r="I12" s="17" t="s">
        <v>48</v>
      </c>
      <c r="J12" s="50" t="s">
        <v>3</v>
      </c>
      <c r="K12" s="17" t="s">
        <v>87</v>
      </c>
      <c r="L12" s="50" t="s">
        <v>3</v>
      </c>
      <c r="M12" s="40" t="s">
        <v>15</v>
      </c>
    </row>
    <row r="13" ht="81.75" customHeight="1">
      <c r="A13" s="40">
        <v>2.0</v>
      </c>
      <c r="B13" s="44" t="str">
        <f t="shared" si="1"/>
        <v>UM  - 2</v>
      </c>
      <c r="C13" s="51" t="str">
        <f t="shared" si="2"/>
        <v>User Management </v>
      </c>
      <c r="D13" s="46" t="s">
        <v>88</v>
      </c>
      <c r="E13" s="52" t="s">
        <v>83</v>
      </c>
      <c r="F13" s="47" t="s">
        <v>89</v>
      </c>
      <c r="G13" s="48" t="s">
        <v>85</v>
      </c>
      <c r="H13" s="46" t="s">
        <v>90</v>
      </c>
      <c r="I13" s="17" t="s">
        <v>48</v>
      </c>
      <c r="J13" s="50" t="s">
        <v>3</v>
      </c>
      <c r="K13" s="17" t="s">
        <v>87</v>
      </c>
      <c r="L13" s="50" t="s">
        <v>3</v>
      </c>
      <c r="M13" s="40" t="s">
        <v>15</v>
      </c>
    </row>
    <row r="14" ht="99.75" customHeight="1">
      <c r="A14" s="40">
        <v>3.0</v>
      </c>
      <c r="B14" s="44" t="str">
        <f t="shared" si="1"/>
        <v>UM  - 3</v>
      </c>
      <c r="C14" s="51" t="str">
        <f t="shared" si="2"/>
        <v>User Management </v>
      </c>
      <c r="D14" s="53" t="s">
        <v>91</v>
      </c>
      <c r="E14" s="52" t="s">
        <v>83</v>
      </c>
      <c r="F14" s="47" t="s">
        <v>92</v>
      </c>
      <c r="G14" s="48" t="s">
        <v>85</v>
      </c>
      <c r="H14" s="47" t="s">
        <v>93</v>
      </c>
      <c r="I14" s="17" t="s">
        <v>48</v>
      </c>
      <c r="J14" s="50" t="s">
        <v>3</v>
      </c>
      <c r="K14" s="17" t="s">
        <v>87</v>
      </c>
      <c r="L14" s="50" t="s">
        <v>3</v>
      </c>
      <c r="M14" s="40" t="s">
        <v>15</v>
      </c>
    </row>
    <row r="15" ht="92.25" customHeight="1">
      <c r="A15" s="40">
        <v>4.0</v>
      </c>
      <c r="B15" s="44" t="str">
        <f t="shared" si="1"/>
        <v>UM  - 4</v>
      </c>
      <c r="C15" s="51" t="str">
        <f t="shared" si="2"/>
        <v>User Management </v>
      </c>
      <c r="D15" s="46" t="s">
        <v>94</v>
      </c>
      <c r="E15" s="54" t="s">
        <v>95</v>
      </c>
      <c r="F15" s="47" t="s">
        <v>84</v>
      </c>
      <c r="G15" s="48" t="s">
        <v>85</v>
      </c>
      <c r="H15" s="46" t="s">
        <v>96</v>
      </c>
      <c r="I15" s="17" t="s">
        <v>48</v>
      </c>
      <c r="J15" s="50" t="s">
        <v>4</v>
      </c>
      <c r="K15" s="17" t="s">
        <v>87</v>
      </c>
      <c r="L15" s="50" t="s">
        <v>3</v>
      </c>
      <c r="M15" s="40" t="s">
        <v>15</v>
      </c>
    </row>
    <row r="16" ht="57.75" customHeight="1">
      <c r="A16" s="40">
        <v>5.0</v>
      </c>
      <c r="B16" s="44" t="str">
        <f t="shared" si="1"/>
        <v>UM  - 5</v>
      </c>
      <c r="C16" s="44" t="str">
        <f t="shared" si="2"/>
        <v>User Management </v>
      </c>
      <c r="D16" s="55" t="s">
        <v>97</v>
      </c>
      <c r="E16" s="47" t="s">
        <v>98</v>
      </c>
      <c r="F16" s="47" t="s">
        <v>99</v>
      </c>
      <c r="G16" s="48" t="s">
        <v>85</v>
      </c>
      <c r="H16" s="56" t="s">
        <v>100</v>
      </c>
      <c r="I16" s="17" t="s">
        <v>48</v>
      </c>
      <c r="J16" s="50" t="s">
        <v>3</v>
      </c>
      <c r="K16" s="17" t="s">
        <v>87</v>
      </c>
      <c r="L16" s="50" t="s">
        <v>3</v>
      </c>
      <c r="M16" s="40" t="s">
        <v>15</v>
      </c>
    </row>
    <row r="17" ht="66.75" customHeight="1">
      <c r="A17" s="40">
        <v>6.0</v>
      </c>
      <c r="B17" s="44" t="str">
        <f t="shared" si="1"/>
        <v>UM  - 6</v>
      </c>
      <c r="C17" s="51" t="str">
        <f t="shared" si="2"/>
        <v>User Management </v>
      </c>
      <c r="D17" s="57" t="s">
        <v>101</v>
      </c>
      <c r="E17" s="58" t="s">
        <v>102</v>
      </c>
      <c r="F17" s="47" t="s">
        <v>103</v>
      </c>
      <c r="G17" s="48" t="s">
        <v>85</v>
      </c>
      <c r="H17" s="59" t="s">
        <v>104</v>
      </c>
      <c r="I17" s="17" t="s">
        <v>48</v>
      </c>
      <c r="J17" s="50" t="s">
        <v>3</v>
      </c>
      <c r="K17" s="17" t="s">
        <v>87</v>
      </c>
      <c r="L17" s="50" t="s">
        <v>3</v>
      </c>
      <c r="M17" s="40" t="s">
        <v>15</v>
      </c>
    </row>
    <row r="18" ht="57.0" customHeight="1">
      <c r="A18" s="40">
        <v>7.0</v>
      </c>
      <c r="B18" s="44" t="str">
        <f t="shared" si="1"/>
        <v>UM  - 7</v>
      </c>
      <c r="C18" s="51" t="str">
        <f t="shared" si="2"/>
        <v>User Management </v>
      </c>
      <c r="D18" s="6" t="s">
        <v>105</v>
      </c>
      <c r="E18" s="47" t="s">
        <v>106</v>
      </c>
      <c r="F18" s="54" t="s">
        <v>107</v>
      </c>
      <c r="G18" s="60" t="s">
        <v>85</v>
      </c>
      <c r="H18" s="53" t="s">
        <v>108</v>
      </c>
      <c r="I18" s="17" t="s">
        <v>48</v>
      </c>
      <c r="J18" s="50" t="s">
        <v>3</v>
      </c>
      <c r="K18" s="17" t="s">
        <v>87</v>
      </c>
      <c r="L18" s="50" t="s">
        <v>3</v>
      </c>
      <c r="M18" s="40" t="s">
        <v>15</v>
      </c>
    </row>
    <row r="19" ht="57.0" customHeight="1">
      <c r="A19" s="40">
        <v>8.0</v>
      </c>
      <c r="B19" s="44" t="str">
        <f t="shared" si="1"/>
        <v>UM  - 8</v>
      </c>
      <c r="C19" s="51" t="str">
        <f t="shared" si="2"/>
        <v>User Management </v>
      </c>
      <c r="D19" s="6" t="s">
        <v>109</v>
      </c>
      <c r="E19" s="6" t="s">
        <v>110</v>
      </c>
      <c r="F19" s="54" t="s">
        <v>111</v>
      </c>
      <c r="G19" s="60" t="s">
        <v>85</v>
      </c>
      <c r="H19" s="6" t="s">
        <v>112</v>
      </c>
      <c r="I19" s="17" t="s">
        <v>48</v>
      </c>
      <c r="J19" s="50" t="s">
        <v>3</v>
      </c>
      <c r="K19" s="17" t="s">
        <v>87</v>
      </c>
      <c r="L19" s="50" t="s">
        <v>3</v>
      </c>
      <c r="M19" s="40" t="s">
        <v>15</v>
      </c>
    </row>
    <row r="20" ht="51.75" customHeight="1">
      <c r="A20" s="40">
        <v>9.0</v>
      </c>
      <c r="B20" s="44" t="str">
        <f t="shared" si="1"/>
        <v>UM  - 9</v>
      </c>
      <c r="C20" s="51" t="str">
        <f t="shared" si="2"/>
        <v>User Management </v>
      </c>
      <c r="D20" s="61" t="s">
        <v>113</v>
      </c>
      <c r="E20" s="56" t="s">
        <v>114</v>
      </c>
      <c r="F20" s="47" t="s">
        <v>103</v>
      </c>
      <c r="G20" s="60" t="s">
        <v>85</v>
      </c>
      <c r="H20" s="56"/>
      <c r="I20" s="17" t="s">
        <v>48</v>
      </c>
      <c r="J20" s="50" t="s">
        <v>3</v>
      </c>
      <c r="K20" s="17" t="s">
        <v>87</v>
      </c>
      <c r="L20" s="50" t="s">
        <v>3</v>
      </c>
      <c r="M20" s="40" t="s">
        <v>15</v>
      </c>
    </row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conditionalFormatting sqref="J12:J20 L12:L20">
    <cfRule type="containsText" dxfId="1" priority="1" operator="containsText" text="PASS">
      <formula>NOT(ISERROR(SEARCH(("PASS"),(J12))))</formula>
    </cfRule>
  </conditionalFormatting>
  <conditionalFormatting sqref="J12:J20 L12:L20">
    <cfRule type="containsText" dxfId="2" priority="2" operator="containsText" text="FAIL">
      <formula>NOT(ISERROR(SEARCH(("FAIL"),(J12))))</formula>
    </cfRule>
  </conditionalFormatting>
  <conditionalFormatting sqref="J12:J20 L12:L20">
    <cfRule type="containsText" dxfId="3" priority="3" operator="containsText" text="SKIPPED">
      <formula>NOT(ISERROR(SEARCH(("SKIPPED"),(J12))))</formula>
    </cfRule>
  </conditionalFormatting>
  <conditionalFormatting sqref="J12:J20 L12:L20">
    <cfRule type="containsText" dxfId="4" priority="4" operator="containsText" text="NOT IMPLEMENTED">
      <formula>NOT(ISERROR(SEARCH(("NOT IMPLEMENTED"),(J12))))</formula>
    </cfRule>
  </conditionalFormatting>
  <dataValidations>
    <dataValidation type="list" allowBlank="1" showErrorMessage="1" sqref="C3:C4">
      <formula1>'Test report '!$B$8:$B$10</formula1>
    </dataValidation>
    <dataValidation type="list" allowBlank="1" showErrorMessage="1" sqref="J12:J20 L12:L20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63"/>
    <col customWidth="1" min="4" max="4" width="51.5"/>
    <col customWidth="1" min="5" max="5" width="29.5"/>
    <col customWidth="1" min="6" max="6" width="38.88"/>
    <col customWidth="1" min="7" max="7" width="20.63"/>
    <col customWidth="1" min="8" max="8" width="44.25"/>
    <col customWidth="1" min="9" max="9" width="20.38"/>
    <col customWidth="1" min="10" max="10" width="18.25"/>
    <col customWidth="1" min="11" max="11" width="19.0"/>
    <col customWidth="1" min="12" max="12" width="19.63"/>
    <col customWidth="1" min="13" max="13" width="30.0"/>
  </cols>
  <sheetData>
    <row r="1">
      <c r="A1" s="28" t="s">
        <v>63</v>
      </c>
      <c r="B1" s="29"/>
      <c r="C1" s="30" t="s">
        <v>115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116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COUNTIF($J$12:$J$107, "&lt;&gt;")</f>
        <v>10</v>
      </c>
      <c r="D6" s="41">
        <f>COUNTIF($J$12:$J$181, "PASS")</f>
        <v>8</v>
      </c>
      <c r="E6" s="41">
        <f>COUNTIF($J$12:$J$181, "FAIL")</f>
        <v>2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COUNTIF($M$12:$M$481, "&lt;&gt;")</f>
        <v>10</v>
      </c>
      <c r="D8" s="41">
        <f>COUNTIF($L$12:$L$210, "PASS")</f>
        <v>8</v>
      </c>
      <c r="E8" s="41">
        <f>COUNTIF($J$12:$J$181, "FAIL")</f>
        <v>2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13"/>
      <c r="F11" s="13"/>
      <c r="G11" s="13"/>
      <c r="H11" s="13"/>
      <c r="I11" s="13"/>
      <c r="J11" s="13"/>
      <c r="K11" s="13"/>
      <c r="L11" s="13"/>
      <c r="M11" s="13"/>
    </row>
    <row r="12" ht="134.25" customHeight="1">
      <c r="A12" s="40">
        <v>1.0</v>
      </c>
      <c r="B12" s="44" t="str">
        <f t="shared" ref="B12:B21" si="1">CONCATENATE($C$2, " - ", A12)</f>
        <v>UI  - 1</v>
      </c>
      <c r="C12" s="51" t="str">
        <f t="shared" ref="C12:C21" si="2">$C$1</f>
        <v>Upload Imange</v>
      </c>
      <c r="D12" s="46" t="s">
        <v>117</v>
      </c>
      <c r="E12" s="54" t="s">
        <v>118</v>
      </c>
      <c r="F12" s="47" t="s">
        <v>119</v>
      </c>
      <c r="G12" s="63" t="s">
        <v>120</v>
      </c>
      <c r="H12" s="47" t="s">
        <v>121</v>
      </c>
      <c r="I12" s="40" t="s">
        <v>48</v>
      </c>
      <c r="J12" s="50" t="s">
        <v>3</v>
      </c>
      <c r="K12" s="17" t="s">
        <v>87</v>
      </c>
      <c r="L12" s="50" t="s">
        <v>3</v>
      </c>
      <c r="M12" s="40" t="s">
        <v>15</v>
      </c>
    </row>
    <row r="13" ht="103.5" customHeight="1">
      <c r="A13" s="64">
        <v>2.0</v>
      </c>
      <c r="B13" s="65" t="str">
        <f t="shared" si="1"/>
        <v>UI  - 2</v>
      </c>
      <c r="C13" s="66" t="str">
        <f t="shared" si="2"/>
        <v>Upload Imange</v>
      </c>
      <c r="D13" s="45" t="s">
        <v>122</v>
      </c>
      <c r="E13" s="58" t="s">
        <v>118</v>
      </c>
      <c r="F13" s="59" t="s">
        <v>123</v>
      </c>
      <c r="G13" s="67" t="s">
        <v>124</v>
      </c>
      <c r="H13" s="63" t="s">
        <v>125</v>
      </c>
      <c r="I13" s="40" t="s">
        <v>48</v>
      </c>
      <c r="J13" s="68" t="s">
        <v>3</v>
      </c>
      <c r="K13" s="17" t="s">
        <v>87</v>
      </c>
      <c r="L13" s="68" t="s">
        <v>3</v>
      </c>
      <c r="M13" s="40" t="s">
        <v>15</v>
      </c>
    </row>
    <row r="14" ht="96.75" customHeight="1">
      <c r="A14" s="64">
        <v>3.0</v>
      </c>
      <c r="B14" s="65" t="str">
        <f t="shared" si="1"/>
        <v>UI  - 3</v>
      </c>
      <c r="C14" s="65" t="str">
        <f t="shared" si="2"/>
        <v>Upload Imange</v>
      </c>
      <c r="D14" s="45" t="s">
        <v>126</v>
      </c>
      <c r="E14" s="59" t="s">
        <v>118</v>
      </c>
      <c r="F14" s="59" t="s">
        <v>127</v>
      </c>
      <c r="G14" s="45" t="s">
        <v>128</v>
      </c>
      <c r="H14" s="59" t="s">
        <v>121</v>
      </c>
      <c r="I14" s="40" t="s">
        <v>48</v>
      </c>
      <c r="J14" s="50" t="s">
        <v>3</v>
      </c>
      <c r="K14" s="17" t="s">
        <v>87</v>
      </c>
      <c r="L14" s="50" t="s">
        <v>3</v>
      </c>
      <c r="M14" s="40" t="s">
        <v>15</v>
      </c>
    </row>
    <row r="15" ht="87.75" customHeight="1">
      <c r="A15" s="40">
        <v>4.0</v>
      </c>
      <c r="B15" s="44" t="str">
        <f t="shared" si="1"/>
        <v>UI  - 4</v>
      </c>
      <c r="C15" s="44" t="str">
        <f t="shared" si="2"/>
        <v>Upload Imange</v>
      </c>
      <c r="D15" s="46" t="s">
        <v>129</v>
      </c>
      <c r="E15" s="47" t="s">
        <v>118</v>
      </c>
      <c r="F15" s="47" t="s">
        <v>130</v>
      </c>
      <c r="G15" s="46" t="s">
        <v>131</v>
      </c>
      <c r="H15" s="46" t="s">
        <v>132</v>
      </c>
      <c r="I15" s="40" t="s">
        <v>48</v>
      </c>
      <c r="J15" s="69" t="s">
        <v>4</v>
      </c>
      <c r="K15" s="17" t="s">
        <v>87</v>
      </c>
      <c r="L15" s="69" t="s">
        <v>4</v>
      </c>
      <c r="M15" s="40" t="s">
        <v>15</v>
      </c>
    </row>
    <row r="16" ht="62.25" customHeight="1">
      <c r="A16" s="40">
        <v>5.0</v>
      </c>
      <c r="B16" s="44" t="str">
        <f t="shared" si="1"/>
        <v>UI  - 5</v>
      </c>
      <c r="C16" s="44" t="str">
        <f t="shared" si="2"/>
        <v>Upload Imange</v>
      </c>
      <c r="D16" s="46" t="s">
        <v>133</v>
      </c>
      <c r="E16" s="47" t="s">
        <v>118</v>
      </c>
      <c r="F16" s="47" t="s">
        <v>134</v>
      </c>
      <c r="G16" s="46" t="s">
        <v>135</v>
      </c>
      <c r="H16" s="46" t="s">
        <v>136</v>
      </c>
      <c r="I16" s="40" t="s">
        <v>48</v>
      </c>
      <c r="J16" s="50" t="s">
        <v>3</v>
      </c>
      <c r="K16" s="17" t="s">
        <v>87</v>
      </c>
      <c r="L16" s="50" t="s">
        <v>3</v>
      </c>
      <c r="M16" s="40" t="s">
        <v>15</v>
      </c>
    </row>
    <row r="17" ht="90.75" customHeight="1">
      <c r="A17" s="40">
        <v>6.0</v>
      </c>
      <c r="B17" s="47" t="str">
        <f t="shared" si="1"/>
        <v>UI  - 6</v>
      </c>
      <c r="C17" s="47" t="str">
        <f t="shared" si="2"/>
        <v>Upload Imange</v>
      </c>
      <c r="D17" s="46" t="s">
        <v>137</v>
      </c>
      <c r="E17" s="47" t="s">
        <v>118</v>
      </c>
      <c r="F17" s="47" t="s">
        <v>138</v>
      </c>
      <c r="G17" s="46" t="s">
        <v>139</v>
      </c>
      <c r="H17" s="47" t="s">
        <v>140</v>
      </c>
      <c r="I17" s="40" t="s">
        <v>48</v>
      </c>
      <c r="J17" s="50" t="s">
        <v>3</v>
      </c>
      <c r="K17" s="17" t="s">
        <v>87</v>
      </c>
      <c r="L17" s="50" t="s">
        <v>3</v>
      </c>
      <c r="M17" s="40" t="s">
        <v>15</v>
      </c>
    </row>
    <row r="18" ht="82.5" customHeight="1">
      <c r="A18" s="70">
        <v>7.0</v>
      </c>
      <c r="B18" s="47" t="str">
        <f t="shared" si="1"/>
        <v>UI  - 7</v>
      </c>
      <c r="C18" s="47" t="str">
        <f t="shared" si="2"/>
        <v>Upload Imange</v>
      </c>
      <c r="D18" s="46" t="s">
        <v>141</v>
      </c>
      <c r="E18" s="47" t="s">
        <v>118</v>
      </c>
      <c r="F18" s="47" t="s">
        <v>142</v>
      </c>
      <c r="G18" s="46" t="s">
        <v>139</v>
      </c>
      <c r="H18" s="46" t="s">
        <v>143</v>
      </c>
      <c r="I18" s="40" t="s">
        <v>48</v>
      </c>
      <c r="J18" s="69" t="s">
        <v>4</v>
      </c>
      <c r="K18" s="17" t="s">
        <v>87</v>
      </c>
      <c r="L18" s="69" t="s">
        <v>4</v>
      </c>
      <c r="M18" s="40" t="s">
        <v>15</v>
      </c>
    </row>
    <row r="19" ht="72.75" customHeight="1">
      <c r="A19" s="70">
        <v>8.0</v>
      </c>
      <c r="B19" s="47" t="str">
        <f t="shared" si="1"/>
        <v>UI  - 8</v>
      </c>
      <c r="C19" s="47" t="str">
        <f t="shared" si="2"/>
        <v>Upload Imange</v>
      </c>
      <c r="D19" s="53" t="s">
        <v>144</v>
      </c>
      <c r="E19" s="47" t="s">
        <v>118</v>
      </c>
      <c r="F19" s="47" t="s">
        <v>145</v>
      </c>
      <c r="G19" s="53" t="s">
        <v>146</v>
      </c>
      <c r="H19" s="53" t="s">
        <v>147</v>
      </c>
      <c r="I19" s="40" t="s">
        <v>48</v>
      </c>
      <c r="J19" s="50" t="s">
        <v>3</v>
      </c>
      <c r="K19" s="17" t="s">
        <v>87</v>
      </c>
      <c r="L19" s="50" t="s">
        <v>3</v>
      </c>
      <c r="M19" s="40" t="s">
        <v>15</v>
      </c>
    </row>
    <row r="20" ht="95.25" customHeight="1">
      <c r="A20" s="70">
        <v>9.0</v>
      </c>
      <c r="B20" s="47" t="str">
        <f t="shared" si="1"/>
        <v>UI  - 9</v>
      </c>
      <c r="C20" s="47" t="str">
        <f t="shared" si="2"/>
        <v>Upload Imange</v>
      </c>
      <c r="D20" s="53" t="s">
        <v>148</v>
      </c>
      <c r="E20" s="47" t="s">
        <v>118</v>
      </c>
      <c r="F20" s="47" t="s">
        <v>119</v>
      </c>
      <c r="G20" s="53" t="s">
        <v>149</v>
      </c>
      <c r="H20" s="53" t="s">
        <v>150</v>
      </c>
      <c r="I20" s="40" t="s">
        <v>48</v>
      </c>
      <c r="J20" s="50" t="s">
        <v>3</v>
      </c>
      <c r="K20" s="17" t="s">
        <v>87</v>
      </c>
      <c r="L20" s="50" t="s">
        <v>3</v>
      </c>
      <c r="M20" s="40" t="s">
        <v>15</v>
      </c>
    </row>
    <row r="21" ht="74.25" customHeight="1">
      <c r="A21" s="70">
        <v>10.0</v>
      </c>
      <c r="B21" s="47" t="str">
        <f t="shared" si="1"/>
        <v>UI  - 10</v>
      </c>
      <c r="C21" s="47" t="str">
        <f t="shared" si="2"/>
        <v>Upload Imange</v>
      </c>
      <c r="D21" s="53" t="s">
        <v>151</v>
      </c>
      <c r="E21" s="47" t="s">
        <v>118</v>
      </c>
      <c r="F21" s="47" t="s">
        <v>119</v>
      </c>
      <c r="G21" s="53" t="s">
        <v>152</v>
      </c>
      <c r="H21" s="47" t="s">
        <v>140</v>
      </c>
      <c r="I21" s="40" t="s">
        <v>48</v>
      </c>
      <c r="J21" s="50" t="s">
        <v>3</v>
      </c>
      <c r="K21" s="17" t="s">
        <v>87</v>
      </c>
      <c r="L21" s="50" t="s">
        <v>3</v>
      </c>
      <c r="M21" s="40" t="s">
        <v>15</v>
      </c>
    </row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1 L12:L21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63"/>
    <col customWidth="1" min="4" max="4" width="56.5"/>
    <col customWidth="1" min="5" max="5" width="34.38"/>
    <col customWidth="1" min="6" max="6" width="33.0"/>
    <col customWidth="1" min="7" max="7" width="20.63"/>
    <col customWidth="1" min="8" max="8" width="37.88"/>
    <col customWidth="1" min="9" max="9" width="20.38"/>
    <col customWidth="1" min="10" max="10" width="15.88"/>
    <col customWidth="1" min="11" max="11" width="19.0"/>
    <col customWidth="1" min="12" max="12" width="16.75"/>
    <col customWidth="1" min="13" max="13" width="30.0"/>
  </cols>
  <sheetData>
    <row r="1">
      <c r="A1" s="28" t="s">
        <v>63</v>
      </c>
      <c r="B1" s="29"/>
      <c r="C1" s="30" t="s">
        <v>33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153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COUNTIF($J$12:$J$108, "&lt;&gt;")</f>
        <v>8</v>
      </c>
      <c r="D6" s="41">
        <f>COUNTIF($J$12:$J$182, "PASS")</f>
        <v>7</v>
      </c>
      <c r="E6" s="41">
        <f>COUNTIF($J$12:$J$182, "FAIL")</f>
        <v>1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COUNTIF($M$12:$M$482, "&lt;&gt;")</f>
        <v>8</v>
      </c>
      <c r="D8" s="41">
        <f>COUNTIF($L$12:$L$211, "PASS")</f>
        <v>7</v>
      </c>
      <c r="E8" s="41">
        <f>COUNTIF($L$12:$L$211, "FAIL")</f>
        <v>1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 ht="38.2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ht="56.25" customHeight="1">
      <c r="A12" s="40">
        <v>1.0</v>
      </c>
      <c r="B12" s="44" t="str">
        <f t="shared" ref="B12:B19" si="1">CONCATENATE($C$2, " - ", A12)</f>
        <v>VAR  - 1</v>
      </c>
      <c r="C12" s="44" t="str">
        <f t="shared" ref="C12:C19" si="2">$C$1</f>
        <v>View Analysis Results</v>
      </c>
      <c r="D12" s="48" t="s">
        <v>154</v>
      </c>
      <c r="E12" s="48" t="s">
        <v>155</v>
      </c>
      <c r="F12" s="71" t="s">
        <v>156</v>
      </c>
      <c r="G12" s="48" t="s">
        <v>157</v>
      </c>
      <c r="H12" s="48" t="s">
        <v>158</v>
      </c>
      <c r="I12" s="40" t="s">
        <v>48</v>
      </c>
      <c r="J12" s="50" t="s">
        <v>3</v>
      </c>
      <c r="K12" s="40" t="s">
        <v>87</v>
      </c>
      <c r="L12" s="50" t="s">
        <v>3</v>
      </c>
      <c r="M12" s="40" t="s">
        <v>15</v>
      </c>
    </row>
    <row r="13" ht="56.25" customHeight="1">
      <c r="A13" s="40">
        <v>2.0</v>
      </c>
      <c r="B13" s="44" t="str">
        <f t="shared" si="1"/>
        <v>VAR  - 2</v>
      </c>
      <c r="C13" s="44" t="str">
        <f t="shared" si="2"/>
        <v>View Analysis Results</v>
      </c>
      <c r="D13" s="48" t="s">
        <v>159</v>
      </c>
      <c r="E13" s="48" t="s">
        <v>160</v>
      </c>
      <c r="F13" s="71" t="s">
        <v>161</v>
      </c>
      <c r="G13" s="48" t="s">
        <v>162</v>
      </c>
      <c r="H13" s="48" t="s">
        <v>163</v>
      </c>
      <c r="I13" s="40" t="s">
        <v>48</v>
      </c>
      <c r="J13" s="50" t="s">
        <v>3</v>
      </c>
      <c r="K13" s="40" t="s">
        <v>87</v>
      </c>
      <c r="L13" s="50" t="s">
        <v>3</v>
      </c>
      <c r="M13" s="40" t="s">
        <v>15</v>
      </c>
    </row>
    <row r="14" ht="56.25" customHeight="1">
      <c r="A14" s="40">
        <v>3.0</v>
      </c>
      <c r="B14" s="44" t="str">
        <f t="shared" si="1"/>
        <v>VAR  - 3</v>
      </c>
      <c r="C14" s="44" t="str">
        <f t="shared" si="2"/>
        <v>View Analysis Results</v>
      </c>
      <c r="D14" s="48" t="s">
        <v>164</v>
      </c>
      <c r="E14" s="48" t="s">
        <v>160</v>
      </c>
      <c r="F14" s="48" t="s">
        <v>165</v>
      </c>
      <c r="G14" s="48" t="s">
        <v>166</v>
      </c>
      <c r="H14" s="48" t="s">
        <v>167</v>
      </c>
      <c r="I14" s="40" t="s">
        <v>48</v>
      </c>
      <c r="J14" s="50" t="s">
        <v>3</v>
      </c>
      <c r="K14" s="40" t="s">
        <v>87</v>
      </c>
      <c r="L14" s="50" t="s">
        <v>3</v>
      </c>
      <c r="M14" s="40" t="s">
        <v>15</v>
      </c>
    </row>
    <row r="15" ht="56.25" customHeight="1">
      <c r="A15" s="40">
        <v>4.0</v>
      </c>
      <c r="B15" s="44" t="str">
        <f t="shared" si="1"/>
        <v>VAR  - 4</v>
      </c>
      <c r="C15" s="44" t="str">
        <f t="shared" si="2"/>
        <v>View Analysis Results</v>
      </c>
      <c r="D15" s="48" t="s">
        <v>168</v>
      </c>
      <c r="E15" s="48" t="s">
        <v>169</v>
      </c>
      <c r="F15" s="48" t="s">
        <v>165</v>
      </c>
      <c r="G15" s="48" t="s">
        <v>170</v>
      </c>
      <c r="H15" s="48" t="s">
        <v>171</v>
      </c>
      <c r="I15" s="40" t="s">
        <v>48</v>
      </c>
      <c r="J15" s="50" t="s">
        <v>3</v>
      </c>
      <c r="K15" s="40" t="s">
        <v>87</v>
      </c>
      <c r="L15" s="50" t="s">
        <v>3</v>
      </c>
      <c r="M15" s="40" t="s">
        <v>15</v>
      </c>
    </row>
    <row r="16" ht="56.25" customHeight="1">
      <c r="A16" s="40">
        <v>5.0</v>
      </c>
      <c r="B16" s="44" t="str">
        <f t="shared" si="1"/>
        <v>VAR  - 5</v>
      </c>
      <c r="C16" s="44" t="str">
        <f t="shared" si="2"/>
        <v>View Analysis Results</v>
      </c>
      <c r="D16" s="48" t="s">
        <v>172</v>
      </c>
      <c r="E16" s="48" t="s">
        <v>160</v>
      </c>
      <c r="F16" s="48" t="s">
        <v>165</v>
      </c>
      <c r="G16" s="48" t="s">
        <v>173</v>
      </c>
      <c r="H16" s="48" t="s">
        <v>174</v>
      </c>
      <c r="I16" s="40" t="s">
        <v>48</v>
      </c>
      <c r="J16" s="50" t="s">
        <v>3</v>
      </c>
      <c r="K16" s="40" t="s">
        <v>87</v>
      </c>
      <c r="L16" s="50" t="s">
        <v>3</v>
      </c>
      <c r="M16" s="40" t="s">
        <v>15</v>
      </c>
    </row>
    <row r="17" ht="56.25" customHeight="1">
      <c r="A17" s="40">
        <v>6.0</v>
      </c>
      <c r="B17" s="44" t="str">
        <f t="shared" si="1"/>
        <v>VAR  - 6</v>
      </c>
      <c r="C17" s="44" t="str">
        <f t="shared" si="2"/>
        <v>View Analysis Results</v>
      </c>
      <c r="D17" s="48" t="s">
        <v>154</v>
      </c>
      <c r="E17" s="48" t="s">
        <v>160</v>
      </c>
      <c r="F17" s="48" t="s">
        <v>175</v>
      </c>
      <c r="G17" s="48"/>
      <c r="H17" s="48" t="s">
        <v>176</v>
      </c>
      <c r="I17" s="40" t="s">
        <v>48</v>
      </c>
      <c r="J17" s="69" t="s">
        <v>4</v>
      </c>
      <c r="K17" s="40" t="s">
        <v>87</v>
      </c>
      <c r="L17" s="69" t="s">
        <v>4</v>
      </c>
      <c r="M17" s="40" t="s">
        <v>15</v>
      </c>
    </row>
    <row r="18" ht="56.25" customHeight="1">
      <c r="A18" s="40">
        <v>7.0</v>
      </c>
      <c r="B18" s="44" t="str">
        <f t="shared" si="1"/>
        <v>VAR  - 7</v>
      </c>
      <c r="C18" s="44" t="str">
        <f t="shared" si="2"/>
        <v>View Analysis Results</v>
      </c>
      <c r="D18" s="48" t="s">
        <v>177</v>
      </c>
      <c r="E18" s="48" t="s">
        <v>160</v>
      </c>
      <c r="F18" s="48" t="s">
        <v>165</v>
      </c>
      <c r="G18" s="48" t="s">
        <v>152</v>
      </c>
      <c r="H18" s="48" t="s">
        <v>178</v>
      </c>
      <c r="I18" s="40" t="s">
        <v>48</v>
      </c>
      <c r="J18" s="50" t="s">
        <v>3</v>
      </c>
      <c r="K18" s="40" t="s">
        <v>87</v>
      </c>
      <c r="L18" s="50" t="s">
        <v>3</v>
      </c>
      <c r="M18" s="40" t="s">
        <v>15</v>
      </c>
    </row>
    <row r="19" ht="56.25" customHeight="1">
      <c r="A19" s="40">
        <v>8.0</v>
      </c>
      <c r="B19" s="40" t="str">
        <f t="shared" si="1"/>
        <v>VAR  - 8</v>
      </c>
      <c r="C19" s="44" t="str">
        <f t="shared" si="2"/>
        <v>View Analysis Results</v>
      </c>
      <c r="D19" s="46" t="s">
        <v>179</v>
      </c>
      <c r="E19" s="48" t="s">
        <v>160</v>
      </c>
      <c r="F19" s="48" t="s">
        <v>165</v>
      </c>
      <c r="G19" s="48" t="s">
        <v>162</v>
      </c>
      <c r="H19" s="46" t="s">
        <v>180</v>
      </c>
      <c r="I19" s="40" t="s">
        <v>48</v>
      </c>
      <c r="J19" s="50" t="s">
        <v>3</v>
      </c>
      <c r="K19" s="40" t="s">
        <v>87</v>
      </c>
      <c r="L19" s="50" t="s">
        <v>3</v>
      </c>
      <c r="M19" s="40" t="s">
        <v>15</v>
      </c>
    </row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19 L12:L19">
      <formula1>'Test report '!$B$13:$B$16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3" max="3" width="21.13"/>
    <col customWidth="1" min="4" max="4" width="50.63"/>
    <col customWidth="1" min="5" max="5" width="34.38"/>
    <col customWidth="1" min="6" max="6" width="39.63"/>
    <col customWidth="1" min="7" max="7" width="27.75"/>
    <col customWidth="1" min="8" max="8" width="33.0"/>
    <col customWidth="1" min="9" max="9" width="20.38"/>
    <col customWidth="1" min="11" max="11" width="19.0"/>
    <col customWidth="1" min="12" max="12" width="16.13"/>
    <col customWidth="1" min="13" max="13" width="30.0"/>
  </cols>
  <sheetData>
    <row r="1">
      <c r="A1" s="28" t="s">
        <v>63</v>
      </c>
      <c r="B1" s="29"/>
      <c r="C1" s="30" t="s">
        <v>35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181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COUNTIF($J$12:$J$108, "&lt;&gt;")</f>
        <v>10</v>
      </c>
      <c r="D6" s="41">
        <f>COUNTIF($J$12:$J$182, "PASS")</f>
        <v>9</v>
      </c>
      <c r="E6" s="41">
        <f>COUNTIF($J$12:$J$182, "FAIL")</f>
        <v>1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COUNTIF($M$12:$M$482, "&lt;&gt;")</f>
        <v>10</v>
      </c>
      <c r="D8" s="41">
        <f>COUNTIF($L$12:$L$211, "PASS")</f>
        <v>9</v>
      </c>
      <c r="E8" s="41">
        <f>COUNTIF($L$12:$L$182, "FAIL")</f>
        <v>1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62"/>
      <c r="F11" s="62"/>
      <c r="G11" s="62"/>
      <c r="H11" s="62"/>
      <c r="I11" s="13"/>
      <c r="J11" s="13"/>
      <c r="K11" s="13"/>
      <c r="L11" s="13"/>
      <c r="M11" s="13"/>
    </row>
    <row r="12" ht="134.25" customHeight="1">
      <c r="A12" s="40">
        <v>1.0</v>
      </c>
      <c r="B12" s="44" t="str">
        <f t="shared" ref="B12:B21" si="1">CONCATENATE($C$2, " - ", A12)</f>
        <v>TR  - 1</v>
      </c>
      <c r="C12" s="51" t="str">
        <f t="shared" ref="C12:C21" si="2">$C$1</f>
        <v>Treatment Recommendations</v>
      </c>
      <c r="D12" s="48" t="s">
        <v>182</v>
      </c>
      <c r="E12" s="48" t="s">
        <v>183</v>
      </c>
      <c r="F12" s="71" t="s">
        <v>184</v>
      </c>
      <c r="G12" s="48" t="s">
        <v>185</v>
      </c>
      <c r="H12" s="48" t="s">
        <v>180</v>
      </c>
      <c r="I12" s="17" t="s">
        <v>48</v>
      </c>
      <c r="J12" s="50" t="s">
        <v>3</v>
      </c>
      <c r="K12" s="40" t="s">
        <v>87</v>
      </c>
      <c r="L12" s="50" t="s">
        <v>3</v>
      </c>
      <c r="M12" s="40" t="s">
        <v>15</v>
      </c>
    </row>
    <row r="13" ht="103.5" customHeight="1">
      <c r="A13" s="40">
        <v>2.0</v>
      </c>
      <c r="B13" s="44" t="str">
        <f t="shared" si="1"/>
        <v>TR  - 2</v>
      </c>
      <c r="C13" s="51" t="str">
        <f t="shared" si="2"/>
        <v>Treatment Recommendations</v>
      </c>
      <c r="D13" s="48" t="s">
        <v>186</v>
      </c>
      <c r="E13" s="48" t="s">
        <v>187</v>
      </c>
      <c r="F13" s="48" t="s">
        <v>188</v>
      </c>
      <c r="G13" s="72" t="s">
        <v>189</v>
      </c>
      <c r="H13" s="48" t="s">
        <v>190</v>
      </c>
      <c r="I13" s="17" t="s">
        <v>48</v>
      </c>
      <c r="J13" s="50" t="s">
        <v>3</v>
      </c>
      <c r="K13" s="40" t="s">
        <v>87</v>
      </c>
      <c r="L13" s="50" t="s">
        <v>3</v>
      </c>
      <c r="M13" s="40" t="s">
        <v>15</v>
      </c>
    </row>
    <row r="14" ht="96.75" customHeight="1">
      <c r="A14" s="40">
        <v>3.0</v>
      </c>
      <c r="B14" s="44" t="str">
        <f t="shared" si="1"/>
        <v>TR  - 3</v>
      </c>
      <c r="C14" s="51" t="str">
        <f t="shared" si="2"/>
        <v>Treatment Recommendations</v>
      </c>
      <c r="D14" s="48" t="s">
        <v>191</v>
      </c>
      <c r="E14" s="48" t="s">
        <v>191</v>
      </c>
      <c r="F14" s="71" t="s">
        <v>184</v>
      </c>
      <c r="G14" s="48" t="s">
        <v>170</v>
      </c>
      <c r="H14" s="71" t="s">
        <v>192</v>
      </c>
      <c r="I14" s="17" t="s">
        <v>48</v>
      </c>
      <c r="J14" s="50" t="s">
        <v>3</v>
      </c>
      <c r="K14" s="40" t="s">
        <v>87</v>
      </c>
      <c r="L14" s="50" t="s">
        <v>3</v>
      </c>
      <c r="M14" s="40" t="s">
        <v>15</v>
      </c>
    </row>
    <row r="15" ht="93.0" customHeight="1">
      <c r="A15" s="40">
        <v>4.0</v>
      </c>
      <c r="B15" s="44" t="str">
        <f t="shared" si="1"/>
        <v>TR  - 4</v>
      </c>
      <c r="C15" s="51" t="str">
        <f t="shared" si="2"/>
        <v>Treatment Recommendations</v>
      </c>
      <c r="D15" s="48" t="s">
        <v>193</v>
      </c>
      <c r="E15" s="48" t="s">
        <v>187</v>
      </c>
      <c r="F15" s="48" t="s">
        <v>187</v>
      </c>
      <c r="G15" s="48" t="s">
        <v>187</v>
      </c>
      <c r="H15" s="48" t="s">
        <v>194</v>
      </c>
      <c r="I15" s="17" t="s">
        <v>48</v>
      </c>
      <c r="J15" s="50" t="s">
        <v>3</v>
      </c>
      <c r="K15" s="40" t="s">
        <v>87</v>
      </c>
      <c r="L15" s="50" t="s">
        <v>3</v>
      </c>
      <c r="M15" s="40" t="s">
        <v>15</v>
      </c>
    </row>
    <row r="16" ht="98.25" customHeight="1">
      <c r="A16" s="64">
        <v>5.0</v>
      </c>
      <c r="B16" s="65" t="str">
        <f t="shared" si="1"/>
        <v>TR  - 5</v>
      </c>
      <c r="C16" s="66" t="str">
        <f t="shared" si="2"/>
        <v>Treatment Recommendations</v>
      </c>
      <c r="D16" s="48" t="s">
        <v>195</v>
      </c>
      <c r="E16" s="48" t="s">
        <v>187</v>
      </c>
      <c r="F16" s="48" t="s">
        <v>196</v>
      </c>
      <c r="G16" s="48" t="s">
        <v>197</v>
      </c>
      <c r="H16" s="48" t="s">
        <v>198</v>
      </c>
      <c r="I16" s="17" t="s">
        <v>48</v>
      </c>
      <c r="J16" s="73" t="s">
        <v>4</v>
      </c>
      <c r="K16" s="40" t="s">
        <v>87</v>
      </c>
      <c r="L16" s="74" t="s">
        <v>4</v>
      </c>
      <c r="M16" s="40" t="s">
        <v>15</v>
      </c>
    </row>
    <row r="17" ht="57.75" customHeight="1">
      <c r="A17" s="40">
        <v>6.0</v>
      </c>
      <c r="B17" s="44" t="str">
        <f t="shared" si="1"/>
        <v>TR  - 6</v>
      </c>
      <c r="C17" s="66" t="str">
        <f t="shared" si="2"/>
        <v>Treatment Recommendations</v>
      </c>
      <c r="D17" s="48" t="s">
        <v>199</v>
      </c>
      <c r="E17" s="48" t="s">
        <v>200</v>
      </c>
      <c r="F17" s="48" t="s">
        <v>201</v>
      </c>
      <c r="G17" s="48" t="s">
        <v>202</v>
      </c>
      <c r="H17" s="48" t="s">
        <v>203</v>
      </c>
      <c r="I17" s="17" t="s">
        <v>48</v>
      </c>
      <c r="J17" s="75" t="s">
        <v>3</v>
      </c>
      <c r="K17" s="40" t="s">
        <v>87</v>
      </c>
      <c r="L17" s="75" t="s">
        <v>3</v>
      </c>
      <c r="M17" s="40" t="s">
        <v>15</v>
      </c>
    </row>
    <row r="18" ht="70.5" customHeight="1">
      <c r="A18" s="40">
        <v>7.0</v>
      </c>
      <c r="B18" s="44" t="str">
        <f t="shared" si="1"/>
        <v>TR  - 7</v>
      </c>
      <c r="C18" s="66" t="str">
        <f t="shared" si="2"/>
        <v>Treatment Recommendations</v>
      </c>
      <c r="D18" s="48" t="s">
        <v>204</v>
      </c>
      <c r="E18" s="48" t="s">
        <v>205</v>
      </c>
      <c r="F18" s="48" t="s">
        <v>206</v>
      </c>
      <c r="G18" s="48" t="s">
        <v>207</v>
      </c>
      <c r="H18" s="48" t="s">
        <v>208</v>
      </c>
      <c r="I18" s="17" t="s">
        <v>48</v>
      </c>
      <c r="J18" s="75" t="s">
        <v>3</v>
      </c>
      <c r="K18" s="40" t="s">
        <v>87</v>
      </c>
      <c r="L18" s="75" t="s">
        <v>3</v>
      </c>
      <c r="M18" s="40" t="s">
        <v>15</v>
      </c>
    </row>
    <row r="19" ht="57.0" customHeight="1">
      <c r="A19" s="40">
        <v>8.0</v>
      </c>
      <c r="B19" s="44" t="str">
        <f t="shared" si="1"/>
        <v>TR  - 8</v>
      </c>
      <c r="C19" s="66" t="str">
        <f t="shared" si="2"/>
        <v>Treatment Recommendations</v>
      </c>
      <c r="D19" s="48" t="s">
        <v>209</v>
      </c>
      <c r="E19" s="48" t="s">
        <v>210</v>
      </c>
      <c r="F19" s="48" t="s">
        <v>196</v>
      </c>
      <c r="G19" s="48" t="s">
        <v>211</v>
      </c>
      <c r="H19" s="48" t="s">
        <v>212</v>
      </c>
      <c r="I19" s="17" t="s">
        <v>48</v>
      </c>
      <c r="J19" s="75" t="s">
        <v>3</v>
      </c>
      <c r="K19" s="40" t="s">
        <v>87</v>
      </c>
      <c r="L19" s="75" t="s">
        <v>3</v>
      </c>
      <c r="M19" s="40" t="s">
        <v>15</v>
      </c>
    </row>
    <row r="20" ht="78.75" customHeight="1">
      <c r="A20" s="40">
        <v>9.0</v>
      </c>
      <c r="B20" s="44" t="str">
        <f t="shared" si="1"/>
        <v>TR  - 9</v>
      </c>
      <c r="C20" s="66" t="str">
        <f t="shared" si="2"/>
        <v>Treatment Recommendations</v>
      </c>
      <c r="D20" s="48" t="s">
        <v>213</v>
      </c>
      <c r="E20" s="48" t="s">
        <v>214</v>
      </c>
      <c r="F20" s="48" t="s">
        <v>196</v>
      </c>
      <c r="G20" s="48" t="s">
        <v>196</v>
      </c>
      <c r="H20" s="48" t="s">
        <v>215</v>
      </c>
      <c r="I20" s="17" t="s">
        <v>48</v>
      </c>
      <c r="J20" s="75" t="s">
        <v>3</v>
      </c>
      <c r="K20" s="40" t="s">
        <v>87</v>
      </c>
      <c r="L20" s="75" t="s">
        <v>3</v>
      </c>
      <c r="M20" s="40" t="s">
        <v>15</v>
      </c>
    </row>
    <row r="21" ht="74.25" customHeight="1">
      <c r="A21" s="40">
        <v>10.0</v>
      </c>
      <c r="B21" s="44" t="str">
        <f t="shared" si="1"/>
        <v>TR  - 10</v>
      </c>
      <c r="C21" s="51" t="str">
        <f t="shared" si="2"/>
        <v>Treatment Recommendations</v>
      </c>
      <c r="D21" s="48" t="s">
        <v>216</v>
      </c>
      <c r="E21" s="48" t="s">
        <v>217</v>
      </c>
      <c r="F21" s="48" t="s">
        <v>218</v>
      </c>
      <c r="G21" s="48" t="s">
        <v>219</v>
      </c>
      <c r="H21" s="48" t="s">
        <v>220</v>
      </c>
      <c r="I21" s="17" t="s">
        <v>48</v>
      </c>
      <c r="J21" s="75" t="s">
        <v>3</v>
      </c>
      <c r="K21" s="40" t="s">
        <v>87</v>
      </c>
      <c r="L21" s="75" t="s">
        <v>3</v>
      </c>
      <c r="M21" s="40" t="s">
        <v>15</v>
      </c>
    </row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1 L12:L21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22.0"/>
    <col customWidth="1" min="5" max="5" width="19.0"/>
    <col customWidth="1" min="6" max="6" width="16.88"/>
    <col customWidth="1" min="7" max="7" width="23.13"/>
    <col customWidth="1" min="8" max="8" width="24.5"/>
    <col customWidth="1" min="9" max="9" width="18.63"/>
    <col customWidth="1" min="11" max="11" width="19.5"/>
    <col customWidth="1" min="13" max="13" width="24.25"/>
  </cols>
  <sheetData>
    <row r="1" ht="15.0" customHeight="1">
      <c r="A1" s="28" t="s">
        <v>63</v>
      </c>
      <c r="B1" s="29"/>
      <c r="C1" s="30" t="s">
        <v>40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 ht="15.0" customHeight="1">
      <c r="A2" s="28" t="s">
        <v>65</v>
      </c>
      <c r="B2" s="29"/>
      <c r="C2" s="32" t="s">
        <v>221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 ht="15.0" customHeight="1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 ht="15.0" customHeight="1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 ht="15.0" customHeight="1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 ht="15.0" customHeight="1">
      <c r="A6" s="38"/>
      <c r="B6" s="39"/>
      <c r="C6" s="40">
        <f>COUNTIF($J$12:$J$106, "&lt;&gt;")</f>
        <v>6</v>
      </c>
      <c r="D6" s="41">
        <f>COUNTIF($J$12:$J$180, "PASS")</f>
        <v>6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 ht="15.0" customHeight="1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 ht="15.0" customHeight="1">
      <c r="A8" s="38"/>
      <c r="B8" s="39"/>
      <c r="C8" s="40">
        <f>COUNTIF($M$12:$M$480, "&lt;&gt;")</f>
        <v>6</v>
      </c>
      <c r="D8" s="41">
        <f>COUNTIF($L$12:$L$209, "PASS")</f>
        <v>6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ht="15.0" customHeight="1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 ht="15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ht="123.0" customHeight="1">
      <c r="A12" s="40">
        <v>1.0</v>
      </c>
      <c r="B12" s="44" t="str">
        <f t="shared" ref="B12:B17" si="1">CONCATENATE($C$2, " - ", A12)</f>
        <v>FI - 1</v>
      </c>
      <c r="C12" s="44" t="s">
        <v>40</v>
      </c>
      <c r="D12" s="44" t="s">
        <v>222</v>
      </c>
      <c r="E12" s="47" t="s">
        <v>223</v>
      </c>
      <c r="F12" s="47" t="s">
        <v>224</v>
      </c>
      <c r="G12" s="76" t="s">
        <v>185</v>
      </c>
      <c r="H12" s="47" t="s">
        <v>225</v>
      </c>
      <c r="I12" s="17" t="s">
        <v>55</v>
      </c>
      <c r="J12" s="50" t="s">
        <v>3</v>
      </c>
      <c r="K12" s="17" t="s">
        <v>226</v>
      </c>
      <c r="L12" s="50" t="s">
        <v>3</v>
      </c>
      <c r="M12" s="40" t="s">
        <v>15</v>
      </c>
    </row>
    <row r="13" ht="123.75" customHeight="1">
      <c r="A13" s="40">
        <v>2.0</v>
      </c>
      <c r="B13" s="44" t="str">
        <f t="shared" si="1"/>
        <v>FI - 2</v>
      </c>
      <c r="C13" s="44" t="s">
        <v>40</v>
      </c>
      <c r="D13" s="44" t="s">
        <v>227</v>
      </c>
      <c r="E13" s="71" t="s">
        <v>228</v>
      </c>
      <c r="F13" s="47" t="s">
        <v>229</v>
      </c>
      <c r="G13" s="47" t="s">
        <v>230</v>
      </c>
      <c r="H13" s="47" t="s">
        <v>231</v>
      </c>
      <c r="I13" s="17" t="s">
        <v>55</v>
      </c>
      <c r="J13" s="50" t="s">
        <v>3</v>
      </c>
      <c r="K13" s="17" t="s">
        <v>232</v>
      </c>
      <c r="L13" s="50" t="s">
        <v>3</v>
      </c>
      <c r="M13" s="40" t="s">
        <v>15</v>
      </c>
    </row>
    <row r="14" ht="144.75" customHeight="1">
      <c r="A14" s="40">
        <v>3.0</v>
      </c>
      <c r="B14" s="44" t="str">
        <f t="shared" si="1"/>
        <v>FI - 3</v>
      </c>
      <c r="C14" s="44" t="s">
        <v>40</v>
      </c>
      <c r="D14" s="44" t="s">
        <v>233</v>
      </c>
      <c r="E14" s="47" t="s">
        <v>234</v>
      </c>
      <c r="F14" s="47" t="s">
        <v>235</v>
      </c>
      <c r="G14" s="47" t="s">
        <v>236</v>
      </c>
      <c r="H14" s="47" t="s">
        <v>237</v>
      </c>
      <c r="I14" s="17" t="s">
        <v>55</v>
      </c>
      <c r="J14" s="50" t="s">
        <v>3</v>
      </c>
      <c r="K14" s="17" t="s">
        <v>238</v>
      </c>
      <c r="L14" s="50" t="s">
        <v>3</v>
      </c>
      <c r="M14" s="40" t="s">
        <v>15</v>
      </c>
    </row>
    <row r="15" ht="124.5" customHeight="1">
      <c r="A15" s="40">
        <v>4.0</v>
      </c>
      <c r="B15" s="44" t="str">
        <f t="shared" si="1"/>
        <v>FI - 4</v>
      </c>
      <c r="C15" s="44" t="s">
        <v>40</v>
      </c>
      <c r="D15" s="44" t="s">
        <v>239</v>
      </c>
      <c r="E15" s="47" t="s">
        <v>240</v>
      </c>
      <c r="F15" s="47" t="s">
        <v>241</v>
      </c>
      <c r="G15" s="46" t="s">
        <v>242</v>
      </c>
      <c r="H15" s="47" t="s">
        <v>243</v>
      </c>
      <c r="I15" s="17" t="s">
        <v>55</v>
      </c>
      <c r="J15" s="50" t="s">
        <v>3</v>
      </c>
      <c r="K15" s="17" t="s">
        <v>244</v>
      </c>
      <c r="L15" s="50" t="s">
        <v>3</v>
      </c>
      <c r="M15" s="40" t="s">
        <v>15</v>
      </c>
    </row>
    <row r="16" ht="78.0" customHeight="1">
      <c r="A16" s="40">
        <v>5.0</v>
      </c>
      <c r="B16" s="44" t="str">
        <f t="shared" si="1"/>
        <v>FI - 5</v>
      </c>
      <c r="C16" s="44" t="s">
        <v>40</v>
      </c>
      <c r="D16" s="44" t="s">
        <v>245</v>
      </c>
      <c r="E16" s="44" t="s">
        <v>246</v>
      </c>
      <c r="F16" s="47" t="s">
        <v>247</v>
      </c>
      <c r="G16" s="46" t="s">
        <v>248</v>
      </c>
      <c r="H16" s="47" t="s">
        <v>249</v>
      </c>
      <c r="I16" s="17" t="s">
        <v>55</v>
      </c>
      <c r="J16" s="50" t="s">
        <v>3</v>
      </c>
      <c r="K16" s="17" t="s">
        <v>250</v>
      </c>
      <c r="L16" s="50" t="s">
        <v>3</v>
      </c>
      <c r="M16" s="40" t="s">
        <v>15</v>
      </c>
    </row>
    <row r="17" ht="93.75" customHeight="1">
      <c r="A17" s="40">
        <v>6.0</v>
      </c>
      <c r="B17" s="44" t="str">
        <f t="shared" si="1"/>
        <v>FI - 6</v>
      </c>
      <c r="C17" s="44" t="s">
        <v>40</v>
      </c>
      <c r="D17" s="44" t="s">
        <v>251</v>
      </c>
      <c r="E17" s="47" t="s">
        <v>252</v>
      </c>
      <c r="F17" s="47" t="s">
        <v>253</v>
      </c>
      <c r="G17" s="46" t="s">
        <v>254</v>
      </c>
      <c r="H17" s="47" t="s">
        <v>255</v>
      </c>
      <c r="I17" s="17" t="s">
        <v>55</v>
      </c>
      <c r="J17" s="50" t="s">
        <v>3</v>
      </c>
      <c r="K17" s="17" t="s">
        <v>256</v>
      </c>
      <c r="L17" s="50" t="s">
        <v>3</v>
      </c>
      <c r="M17" s="4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17 L12:L17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22.0"/>
    <col customWidth="1" min="5" max="5" width="19.0"/>
    <col customWidth="1" min="6" max="6" width="16.88"/>
    <col customWidth="1" min="7" max="7" width="23.13"/>
    <col customWidth="1" min="8" max="8" width="24.5"/>
    <col customWidth="1" min="9" max="9" width="18.63"/>
    <col customWidth="1" min="11" max="11" width="19.5"/>
    <col customWidth="1" min="13" max="13" width="24.25"/>
    <col customWidth="1" min="14" max="14" width="33.63"/>
  </cols>
  <sheetData>
    <row r="1" ht="15.0" customHeight="1">
      <c r="A1" s="28" t="s">
        <v>63</v>
      </c>
      <c r="B1" s="29"/>
      <c r="C1" s="30" t="s">
        <v>38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 ht="15.0" customHeight="1">
      <c r="A2" s="28" t="s">
        <v>65</v>
      </c>
      <c r="B2" s="29"/>
      <c r="C2" s="32" t="s">
        <v>257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 ht="15.0" customHeight="1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 ht="15.0" customHeight="1">
      <c r="A4" s="28" t="s">
        <v>12</v>
      </c>
      <c r="B4" s="29"/>
      <c r="C4" s="30" t="s">
        <v>14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 ht="15.0" customHeight="1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 ht="15.0" customHeight="1">
      <c r="A6" s="38"/>
      <c r="B6" s="39"/>
      <c r="C6" s="40">
        <f>COUNTIF($J$12:$J$105, "&lt;&gt;")</f>
        <v>10</v>
      </c>
      <c r="D6" s="41">
        <f>COUNTIF($J$12:$J$179, "PASS")</f>
        <v>10</v>
      </c>
      <c r="E6" s="41">
        <f>COUNTIF($J$12:$J$181,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 ht="15.0" customHeight="1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 ht="15.0" customHeight="1">
      <c r="A8" s="38"/>
      <c r="B8" s="39"/>
      <c r="C8" s="40">
        <f>COUNTIF($M$12:$M$479, "&lt;&gt;")</f>
        <v>10</v>
      </c>
      <c r="D8" s="41">
        <f>COUNTIF($L$12:$L$208, "PASS")</f>
        <v>10</v>
      </c>
      <c r="E8" s="41">
        <f>COUNTIF($L$12:$L$210,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ht="15.0" customHeight="1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 ht="15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ht="66.0" customHeight="1">
      <c r="A12" s="40">
        <v>1.0</v>
      </c>
      <c r="B12" s="44" t="str">
        <f t="shared" ref="B12:B21" si="1">CONCATENATE($C$2, " - ", A12)</f>
        <v>HA - 1</v>
      </c>
      <c r="C12" s="44" t="s">
        <v>38</v>
      </c>
      <c r="D12" s="44" t="s">
        <v>258</v>
      </c>
      <c r="E12" s="47" t="s">
        <v>259</v>
      </c>
      <c r="F12" s="47" t="s">
        <v>260</v>
      </c>
      <c r="G12" s="76" t="s">
        <v>261</v>
      </c>
      <c r="H12" s="47" t="s">
        <v>262</v>
      </c>
      <c r="I12" s="17" t="s">
        <v>55</v>
      </c>
      <c r="J12" s="50" t="s">
        <v>3</v>
      </c>
      <c r="K12" s="17" t="s">
        <v>226</v>
      </c>
      <c r="L12" s="50" t="s">
        <v>3</v>
      </c>
      <c r="M12" s="40" t="s">
        <v>14</v>
      </c>
    </row>
    <row r="13" ht="55.5" customHeight="1">
      <c r="A13" s="40">
        <v>2.0</v>
      </c>
      <c r="B13" s="44" t="str">
        <f t="shared" si="1"/>
        <v>HA - 2</v>
      </c>
      <c r="C13" s="44" t="s">
        <v>38</v>
      </c>
      <c r="D13" s="44" t="s">
        <v>263</v>
      </c>
      <c r="E13" s="47" t="s">
        <v>264</v>
      </c>
      <c r="F13" s="47" t="s">
        <v>260</v>
      </c>
      <c r="G13" s="46" t="s">
        <v>265</v>
      </c>
      <c r="H13" s="47" t="s">
        <v>266</v>
      </c>
      <c r="I13" s="17" t="s">
        <v>55</v>
      </c>
      <c r="J13" s="50" t="s">
        <v>3</v>
      </c>
      <c r="K13" s="17" t="s">
        <v>226</v>
      </c>
      <c r="L13" s="50" t="s">
        <v>3</v>
      </c>
      <c r="M13" s="40" t="s">
        <v>14</v>
      </c>
    </row>
    <row r="14" ht="100.5" customHeight="1">
      <c r="A14" s="40">
        <v>3.0</v>
      </c>
      <c r="B14" s="44" t="str">
        <f t="shared" si="1"/>
        <v>HA - 3</v>
      </c>
      <c r="C14" s="44" t="s">
        <v>38</v>
      </c>
      <c r="D14" s="44" t="s">
        <v>267</v>
      </c>
      <c r="E14" s="47" t="s">
        <v>268</v>
      </c>
      <c r="F14" s="47" t="s">
        <v>269</v>
      </c>
      <c r="G14" s="46" t="s">
        <v>270</v>
      </c>
      <c r="H14" s="47" t="s">
        <v>271</v>
      </c>
      <c r="I14" s="17" t="s">
        <v>55</v>
      </c>
      <c r="J14" s="50" t="s">
        <v>3</v>
      </c>
      <c r="K14" s="17" t="s">
        <v>226</v>
      </c>
      <c r="L14" s="50" t="s">
        <v>3</v>
      </c>
      <c r="M14" s="40" t="s">
        <v>14</v>
      </c>
    </row>
    <row r="15" ht="78.0" customHeight="1">
      <c r="A15" s="40">
        <v>4.0</v>
      </c>
      <c r="B15" s="44" t="str">
        <f t="shared" si="1"/>
        <v>HA - 4</v>
      </c>
      <c r="C15" s="44" t="s">
        <v>38</v>
      </c>
      <c r="D15" s="44" t="s">
        <v>272</v>
      </c>
      <c r="E15" s="47" t="s">
        <v>273</v>
      </c>
      <c r="F15" s="47" t="s">
        <v>274</v>
      </c>
      <c r="G15" s="46" t="s">
        <v>275</v>
      </c>
      <c r="H15" s="47" t="s">
        <v>276</v>
      </c>
      <c r="I15" s="17" t="s">
        <v>55</v>
      </c>
      <c r="J15" s="50" t="s">
        <v>3</v>
      </c>
      <c r="K15" s="17" t="s">
        <v>226</v>
      </c>
      <c r="L15" s="50" t="s">
        <v>3</v>
      </c>
      <c r="M15" s="40" t="s">
        <v>14</v>
      </c>
    </row>
    <row r="16" ht="60.0" customHeight="1">
      <c r="A16" s="40">
        <v>5.0</v>
      </c>
      <c r="B16" s="44" t="str">
        <f t="shared" si="1"/>
        <v>HA - 5</v>
      </c>
      <c r="C16" s="44" t="s">
        <v>38</v>
      </c>
      <c r="D16" s="44" t="s">
        <v>277</v>
      </c>
      <c r="E16" s="47" t="s">
        <v>268</v>
      </c>
      <c r="F16" s="47" t="s">
        <v>274</v>
      </c>
      <c r="G16" s="47" t="s">
        <v>278</v>
      </c>
      <c r="H16" s="47" t="s">
        <v>279</v>
      </c>
      <c r="I16" s="17" t="s">
        <v>55</v>
      </c>
      <c r="J16" s="50" t="s">
        <v>3</v>
      </c>
      <c r="K16" s="17" t="s">
        <v>226</v>
      </c>
      <c r="L16" s="50" t="s">
        <v>3</v>
      </c>
      <c r="M16" s="40" t="s">
        <v>14</v>
      </c>
    </row>
    <row r="17" ht="64.5" customHeight="1">
      <c r="A17" s="40">
        <v>6.0</v>
      </c>
      <c r="B17" s="44" t="str">
        <f t="shared" si="1"/>
        <v>HA - 6</v>
      </c>
      <c r="C17" s="44" t="s">
        <v>38</v>
      </c>
      <c r="D17" s="44" t="s">
        <v>280</v>
      </c>
      <c r="E17" s="47" t="s">
        <v>281</v>
      </c>
      <c r="F17" s="47" t="s">
        <v>282</v>
      </c>
      <c r="G17" s="46" t="s">
        <v>283</v>
      </c>
      <c r="H17" s="47" t="s">
        <v>284</v>
      </c>
      <c r="I17" s="17" t="s">
        <v>55</v>
      </c>
      <c r="J17" s="50" t="s">
        <v>3</v>
      </c>
      <c r="K17" s="17" t="s">
        <v>226</v>
      </c>
      <c r="L17" s="50" t="s">
        <v>3</v>
      </c>
      <c r="M17" s="40" t="s">
        <v>14</v>
      </c>
    </row>
    <row r="18" ht="72.0" customHeight="1">
      <c r="A18" s="40">
        <v>7.0</v>
      </c>
      <c r="B18" s="44" t="str">
        <f t="shared" si="1"/>
        <v>HA - 7</v>
      </c>
      <c r="C18" s="44" t="s">
        <v>38</v>
      </c>
      <c r="D18" s="44" t="s">
        <v>285</v>
      </c>
      <c r="E18" s="47" t="s">
        <v>286</v>
      </c>
      <c r="F18" s="47" t="s">
        <v>287</v>
      </c>
      <c r="G18" s="46" t="s">
        <v>288</v>
      </c>
      <c r="H18" s="47" t="s">
        <v>289</v>
      </c>
      <c r="I18" s="17" t="s">
        <v>55</v>
      </c>
      <c r="J18" s="50" t="s">
        <v>3</v>
      </c>
      <c r="K18" s="17" t="s">
        <v>226</v>
      </c>
      <c r="L18" s="50" t="s">
        <v>3</v>
      </c>
      <c r="M18" s="40" t="s">
        <v>14</v>
      </c>
    </row>
    <row r="19" ht="70.5" customHeight="1">
      <c r="A19" s="40">
        <v>8.0</v>
      </c>
      <c r="B19" s="44" t="str">
        <f t="shared" si="1"/>
        <v>HA - 8</v>
      </c>
      <c r="C19" s="44" t="s">
        <v>38</v>
      </c>
      <c r="D19" s="44" t="s">
        <v>290</v>
      </c>
      <c r="E19" s="47" t="s">
        <v>291</v>
      </c>
      <c r="F19" s="47" t="s">
        <v>292</v>
      </c>
      <c r="G19" s="46" t="s">
        <v>293</v>
      </c>
      <c r="H19" s="47" t="s">
        <v>294</v>
      </c>
      <c r="I19" s="17" t="s">
        <v>55</v>
      </c>
      <c r="J19" s="50" t="s">
        <v>3</v>
      </c>
      <c r="K19" s="17" t="s">
        <v>226</v>
      </c>
      <c r="L19" s="50" t="s">
        <v>3</v>
      </c>
      <c r="M19" s="40" t="s">
        <v>14</v>
      </c>
    </row>
    <row r="20" ht="54.75" customHeight="1">
      <c r="A20" s="40">
        <v>9.0</v>
      </c>
      <c r="B20" s="44" t="str">
        <f t="shared" si="1"/>
        <v>HA - 9</v>
      </c>
      <c r="C20" s="44" t="s">
        <v>38</v>
      </c>
      <c r="D20" s="44" t="s">
        <v>295</v>
      </c>
      <c r="E20" s="47" t="s">
        <v>268</v>
      </c>
      <c r="F20" s="47" t="s">
        <v>296</v>
      </c>
      <c r="G20" s="46" t="s">
        <v>297</v>
      </c>
      <c r="H20" s="47" t="s">
        <v>298</v>
      </c>
      <c r="I20" s="17" t="s">
        <v>55</v>
      </c>
      <c r="J20" s="50" t="s">
        <v>3</v>
      </c>
      <c r="K20" s="17" t="s">
        <v>226</v>
      </c>
      <c r="L20" s="50" t="s">
        <v>3</v>
      </c>
      <c r="M20" s="40" t="s">
        <v>14</v>
      </c>
    </row>
    <row r="21" ht="59.25" customHeight="1">
      <c r="A21" s="40">
        <v>10.0</v>
      </c>
      <c r="B21" s="44" t="str">
        <f t="shared" si="1"/>
        <v>HA - 10</v>
      </c>
      <c r="C21" s="44" t="s">
        <v>38</v>
      </c>
      <c r="D21" s="44" t="s">
        <v>299</v>
      </c>
      <c r="E21" s="47" t="s">
        <v>300</v>
      </c>
      <c r="F21" s="47" t="s">
        <v>301</v>
      </c>
      <c r="G21" s="46" t="s">
        <v>135</v>
      </c>
      <c r="H21" s="47" t="s">
        <v>302</v>
      </c>
      <c r="I21" s="17" t="s">
        <v>55</v>
      </c>
      <c r="J21" s="50" t="s">
        <v>3</v>
      </c>
      <c r="K21" s="17" t="s">
        <v>226</v>
      </c>
      <c r="L21" s="50" t="s">
        <v>3</v>
      </c>
      <c r="M21" s="40" t="s">
        <v>14</v>
      </c>
    </row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1 L12:L21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22.0"/>
    <col customWidth="1" min="5" max="5" width="19.0"/>
    <col customWidth="1" min="6" max="6" width="16.88"/>
    <col customWidth="1" min="7" max="7" width="23.13"/>
    <col customWidth="1" min="8" max="8" width="24.5"/>
    <col customWidth="1" min="9" max="9" width="18.63"/>
    <col customWidth="1" min="11" max="11" width="19.5"/>
    <col customWidth="1" min="13" max="13" width="24.25"/>
  </cols>
  <sheetData>
    <row r="1" ht="15.0" customHeight="1">
      <c r="A1" s="28" t="s">
        <v>63</v>
      </c>
      <c r="B1" s="29"/>
      <c r="C1" s="30" t="s">
        <v>42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 ht="15.0" customHeight="1">
      <c r="A2" s="28" t="s">
        <v>65</v>
      </c>
      <c r="B2" s="29"/>
      <c r="C2" s="32" t="s">
        <v>303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 ht="15.0" customHeight="1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 ht="15.0" customHeight="1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 ht="15.0" customHeight="1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 ht="15.0" customHeight="1">
      <c r="A6" s="38"/>
      <c r="B6" s="39"/>
      <c r="C6" s="40">
        <f>COUNTIF($J$12:$J$105, "&lt;&gt;")</f>
        <v>7</v>
      </c>
      <c r="D6" s="41">
        <f>COUNTIF($J$12:$J$179, "PASS")</f>
        <v>6</v>
      </c>
      <c r="E6" s="41">
        <f>COUNTIF($J$12:$J$181, "FAIL")</f>
        <v>1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 ht="15.0" customHeight="1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 ht="15.0" customHeight="1">
      <c r="A8" s="38"/>
      <c r="B8" s="39"/>
      <c r="C8" s="40">
        <f>COUNTIF($M$12:$M$479, "&lt;&gt;")</f>
        <v>7</v>
      </c>
      <c r="D8" s="41">
        <f>COUNTIF($L$12:$L$208, "PASS")</f>
        <v>6</v>
      </c>
      <c r="E8" s="41">
        <f>COUNTIF($L$12:$L$210, "FAIL")</f>
        <v>1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ht="15.0" customHeight="1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 ht="15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ht="61.5" customHeight="1">
      <c r="A12" s="40">
        <v>1.0</v>
      </c>
      <c r="B12" s="44" t="str">
        <f t="shared" ref="B12:B18" si="1">CONCATENATE($C$2, " - ", A12)</f>
        <v>CM - 1</v>
      </c>
      <c r="C12" s="44" t="s">
        <v>42</v>
      </c>
      <c r="D12" s="44" t="s">
        <v>304</v>
      </c>
      <c r="E12" s="47" t="s">
        <v>305</v>
      </c>
      <c r="F12" s="47" t="s">
        <v>306</v>
      </c>
      <c r="G12" s="76" t="s">
        <v>307</v>
      </c>
      <c r="H12" s="47" t="s">
        <v>308</v>
      </c>
      <c r="I12" s="17" t="s">
        <v>55</v>
      </c>
      <c r="J12" s="50" t="s">
        <v>3</v>
      </c>
      <c r="K12" s="17" t="s">
        <v>226</v>
      </c>
      <c r="L12" s="50" t="s">
        <v>3</v>
      </c>
      <c r="M12" s="40" t="s">
        <v>15</v>
      </c>
    </row>
    <row r="13" ht="114.75" customHeight="1">
      <c r="A13" s="40">
        <v>2.0</v>
      </c>
      <c r="B13" s="44" t="str">
        <f t="shared" si="1"/>
        <v>CM - 2</v>
      </c>
      <c r="C13" s="44" t="str">
        <f t="shared" ref="C13:C18" si="2">$C$1</f>
        <v>Category Management</v>
      </c>
      <c r="D13" s="44" t="s">
        <v>309</v>
      </c>
      <c r="E13" s="47" t="s">
        <v>310</v>
      </c>
      <c r="F13" s="47" t="s">
        <v>311</v>
      </c>
      <c r="G13" s="46" t="s">
        <v>312</v>
      </c>
      <c r="H13" s="47" t="s">
        <v>313</v>
      </c>
      <c r="I13" s="17" t="s">
        <v>55</v>
      </c>
      <c r="J13" s="50" t="s">
        <v>3</v>
      </c>
      <c r="K13" s="17" t="s">
        <v>226</v>
      </c>
      <c r="L13" s="50" t="s">
        <v>3</v>
      </c>
      <c r="M13" s="40" t="s">
        <v>15</v>
      </c>
    </row>
    <row r="14" ht="100.5" customHeight="1">
      <c r="A14" s="40">
        <v>3.0</v>
      </c>
      <c r="B14" s="44" t="str">
        <f t="shared" si="1"/>
        <v>CM - 3</v>
      </c>
      <c r="C14" s="44" t="str">
        <f t="shared" si="2"/>
        <v>Category Management</v>
      </c>
      <c r="D14" s="44" t="s">
        <v>314</v>
      </c>
      <c r="E14" s="46" t="s">
        <v>315</v>
      </c>
      <c r="F14" s="47" t="s">
        <v>316</v>
      </c>
      <c r="G14" s="47" t="s">
        <v>317</v>
      </c>
      <c r="H14" s="47" t="s">
        <v>318</v>
      </c>
      <c r="I14" s="17" t="s">
        <v>55</v>
      </c>
      <c r="J14" s="50" t="s">
        <v>3</v>
      </c>
      <c r="K14" s="17" t="s">
        <v>226</v>
      </c>
      <c r="L14" s="50" t="s">
        <v>3</v>
      </c>
      <c r="M14" s="40" t="s">
        <v>15</v>
      </c>
    </row>
    <row r="15" ht="56.25" customHeight="1">
      <c r="A15" s="40">
        <v>4.0</v>
      </c>
      <c r="B15" s="44" t="str">
        <f t="shared" si="1"/>
        <v>CM - 4</v>
      </c>
      <c r="C15" s="44" t="str">
        <f t="shared" si="2"/>
        <v>Category Management</v>
      </c>
      <c r="D15" s="44" t="s">
        <v>319</v>
      </c>
      <c r="E15" s="46" t="s">
        <v>315</v>
      </c>
      <c r="F15" s="47" t="s">
        <v>320</v>
      </c>
      <c r="G15" s="46" t="s">
        <v>321</v>
      </c>
      <c r="H15" s="47" t="s">
        <v>322</v>
      </c>
      <c r="I15" s="17" t="s">
        <v>55</v>
      </c>
      <c r="J15" s="77" t="s">
        <v>4</v>
      </c>
      <c r="K15" s="17" t="s">
        <v>226</v>
      </c>
      <c r="L15" s="77" t="s">
        <v>4</v>
      </c>
      <c r="M15" s="40" t="s">
        <v>15</v>
      </c>
    </row>
    <row r="16" ht="75.0" customHeight="1">
      <c r="A16" s="40">
        <v>5.0</v>
      </c>
      <c r="B16" s="44" t="str">
        <f t="shared" si="1"/>
        <v>CM - 5</v>
      </c>
      <c r="C16" s="44" t="str">
        <f t="shared" si="2"/>
        <v>Category Management</v>
      </c>
      <c r="D16" s="44" t="s">
        <v>323</v>
      </c>
      <c r="E16" s="47" t="s">
        <v>324</v>
      </c>
      <c r="F16" s="47" t="s">
        <v>325</v>
      </c>
      <c r="G16" s="47" t="s">
        <v>326</v>
      </c>
      <c r="H16" s="47" t="s">
        <v>327</v>
      </c>
      <c r="I16" s="17" t="s">
        <v>55</v>
      </c>
      <c r="J16" s="50" t="s">
        <v>3</v>
      </c>
      <c r="K16" s="17" t="s">
        <v>226</v>
      </c>
      <c r="L16" s="50" t="s">
        <v>3</v>
      </c>
      <c r="M16" s="40" t="s">
        <v>15</v>
      </c>
    </row>
    <row r="17" ht="72.0" customHeight="1">
      <c r="A17" s="40">
        <v>6.0</v>
      </c>
      <c r="B17" s="44" t="str">
        <f t="shared" si="1"/>
        <v>CM - 6</v>
      </c>
      <c r="C17" s="44" t="str">
        <f t="shared" si="2"/>
        <v>Category Management</v>
      </c>
      <c r="D17" s="44" t="s">
        <v>328</v>
      </c>
      <c r="E17" s="47" t="s">
        <v>324</v>
      </c>
      <c r="F17" s="47" t="s">
        <v>329</v>
      </c>
      <c r="G17" s="46" t="s">
        <v>317</v>
      </c>
      <c r="H17" s="47" t="s">
        <v>330</v>
      </c>
      <c r="I17" s="17" t="s">
        <v>55</v>
      </c>
      <c r="J17" s="50" t="s">
        <v>3</v>
      </c>
      <c r="K17" s="17" t="s">
        <v>226</v>
      </c>
      <c r="L17" s="50" t="s">
        <v>3</v>
      </c>
      <c r="M17" s="40" t="s">
        <v>15</v>
      </c>
    </row>
    <row r="18" ht="78.75" customHeight="1">
      <c r="A18" s="40">
        <v>7.0</v>
      </c>
      <c r="B18" s="44" t="str">
        <f t="shared" si="1"/>
        <v>CM - 7</v>
      </c>
      <c r="C18" s="44" t="str">
        <f t="shared" si="2"/>
        <v>Category Management</v>
      </c>
      <c r="D18" s="44" t="s">
        <v>331</v>
      </c>
      <c r="E18" s="47" t="s">
        <v>324</v>
      </c>
      <c r="F18" s="47" t="s">
        <v>332</v>
      </c>
      <c r="G18" s="47" t="s">
        <v>333</v>
      </c>
      <c r="H18" s="47" t="s">
        <v>334</v>
      </c>
      <c r="I18" s="17" t="s">
        <v>55</v>
      </c>
      <c r="J18" s="50" t="s">
        <v>3</v>
      </c>
      <c r="K18" s="17" t="s">
        <v>226</v>
      </c>
      <c r="L18" s="50" t="s">
        <v>3</v>
      </c>
      <c r="M18" s="4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18 L12:L18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22.0"/>
    <col customWidth="1" min="5" max="5" width="19.0"/>
    <col customWidth="1" min="6" max="6" width="16.88"/>
    <col customWidth="1" min="7" max="7" width="23.13"/>
    <col customWidth="1" min="8" max="8" width="24.5"/>
    <col customWidth="1" min="9" max="9" width="18.63"/>
    <col customWidth="1" min="11" max="11" width="19.5"/>
    <col customWidth="1" min="13" max="13" width="24.25"/>
    <col customWidth="1" min="14" max="14" width="33.63"/>
  </cols>
  <sheetData>
    <row r="1" ht="15.0" customHeight="1">
      <c r="A1" s="28" t="s">
        <v>63</v>
      </c>
      <c r="B1" s="29"/>
      <c r="C1" s="30" t="s">
        <v>335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 ht="15.0" customHeight="1">
      <c r="A2" s="28" t="s">
        <v>65</v>
      </c>
      <c r="B2" s="29"/>
      <c r="C2" s="32" t="s">
        <v>336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 ht="15.0" customHeight="1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 ht="15.0" customHeight="1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 ht="15.0" customHeight="1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 ht="15.0" customHeight="1">
      <c r="A6" s="38"/>
      <c r="B6" s="39"/>
      <c r="C6" s="40">
        <f>COUNTIF($J$12:$J$106, "&lt;&gt;")</f>
        <v>9</v>
      </c>
      <c r="D6" s="41">
        <f>COUNTIF($J$12:$J$180, "PASS")</f>
        <v>9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 ht="15.0" customHeight="1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 ht="15.0" customHeight="1">
      <c r="A8" s="38"/>
      <c r="B8" s="39"/>
      <c r="C8" s="40">
        <f>COUNTIF($M$12:$M$480, "&lt;&gt;")</f>
        <v>9</v>
      </c>
      <c r="D8" s="41">
        <f>COUNTIF($L$12:$L$209, "PASS")</f>
        <v>9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ht="15.0" customHeight="1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 ht="15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ht="125.25" customHeight="1">
      <c r="A12" s="40">
        <v>1.0</v>
      </c>
      <c r="B12" s="44" t="str">
        <f t="shared" ref="B12:B20" si="1">CONCATENATE($C$2, " - ", A12)</f>
        <v>AC - 1</v>
      </c>
      <c r="C12" s="44" t="str">
        <f>C1</f>
        <v>Apply Coupon</v>
      </c>
      <c r="D12" s="44" t="s">
        <v>337</v>
      </c>
      <c r="E12" s="47" t="s">
        <v>338</v>
      </c>
      <c r="F12" s="47" t="s">
        <v>339</v>
      </c>
      <c r="G12" s="76" t="s">
        <v>340</v>
      </c>
      <c r="H12" s="47" t="s">
        <v>341</v>
      </c>
      <c r="I12" s="17" t="s">
        <v>55</v>
      </c>
      <c r="J12" s="50" t="s">
        <v>3</v>
      </c>
      <c r="K12" s="17" t="s">
        <v>226</v>
      </c>
      <c r="L12" s="50" t="s">
        <v>3</v>
      </c>
      <c r="M12" s="40" t="s">
        <v>15</v>
      </c>
    </row>
    <row r="13" ht="66.0" customHeight="1">
      <c r="A13" s="40">
        <v>2.0</v>
      </c>
      <c r="B13" s="44" t="str">
        <f t="shared" si="1"/>
        <v>AC - 2</v>
      </c>
      <c r="C13" s="44" t="str">
        <f t="shared" ref="C13:C20" si="2">$C$1</f>
        <v>Apply Coupon</v>
      </c>
      <c r="D13" s="44" t="s">
        <v>342</v>
      </c>
      <c r="E13" s="47" t="s">
        <v>343</v>
      </c>
      <c r="F13" s="47" t="s">
        <v>344</v>
      </c>
      <c r="G13" s="46" t="s">
        <v>345</v>
      </c>
      <c r="H13" s="47" t="s">
        <v>346</v>
      </c>
      <c r="I13" s="17" t="s">
        <v>55</v>
      </c>
      <c r="J13" s="50" t="s">
        <v>3</v>
      </c>
      <c r="K13" s="17" t="s">
        <v>226</v>
      </c>
      <c r="L13" s="50" t="s">
        <v>3</v>
      </c>
      <c r="M13" s="40" t="s">
        <v>15</v>
      </c>
    </row>
    <row r="14" ht="54.75" customHeight="1">
      <c r="A14" s="40">
        <v>3.0</v>
      </c>
      <c r="B14" s="44" t="str">
        <f t="shared" si="1"/>
        <v>AC - 3</v>
      </c>
      <c r="C14" s="44" t="str">
        <f t="shared" si="2"/>
        <v>Apply Coupon</v>
      </c>
      <c r="D14" s="44" t="s">
        <v>347</v>
      </c>
      <c r="E14" s="47" t="s">
        <v>348</v>
      </c>
      <c r="F14" s="47" t="s">
        <v>349</v>
      </c>
      <c r="G14" s="46" t="s">
        <v>350</v>
      </c>
      <c r="H14" s="47" t="s">
        <v>351</v>
      </c>
      <c r="I14" s="17" t="s">
        <v>55</v>
      </c>
      <c r="J14" s="50" t="s">
        <v>3</v>
      </c>
      <c r="K14" s="17" t="s">
        <v>226</v>
      </c>
      <c r="L14" s="50" t="s">
        <v>3</v>
      </c>
      <c r="M14" s="40" t="s">
        <v>15</v>
      </c>
    </row>
    <row r="15" ht="54.75" customHeight="1">
      <c r="A15" s="40">
        <v>4.0</v>
      </c>
      <c r="B15" s="44" t="str">
        <f t="shared" si="1"/>
        <v>AC - 4</v>
      </c>
      <c r="C15" s="44" t="str">
        <f t="shared" si="2"/>
        <v>Apply Coupon</v>
      </c>
      <c r="D15" s="44" t="s">
        <v>352</v>
      </c>
      <c r="E15" s="78" t="s">
        <v>353</v>
      </c>
      <c r="F15" s="47" t="s">
        <v>349</v>
      </c>
      <c r="G15" s="46" t="s">
        <v>350</v>
      </c>
      <c r="H15" s="47" t="s">
        <v>354</v>
      </c>
      <c r="I15" s="17" t="s">
        <v>55</v>
      </c>
      <c r="J15" s="50" t="s">
        <v>3</v>
      </c>
      <c r="K15" s="17" t="s">
        <v>226</v>
      </c>
      <c r="L15" s="50" t="s">
        <v>3</v>
      </c>
      <c r="M15" s="40" t="s">
        <v>15</v>
      </c>
    </row>
    <row r="16" ht="62.25" customHeight="1">
      <c r="A16" s="40">
        <v>5.0</v>
      </c>
      <c r="B16" s="44" t="str">
        <f t="shared" si="1"/>
        <v>AC - 5</v>
      </c>
      <c r="C16" s="44" t="str">
        <f t="shared" si="2"/>
        <v>Apply Coupon</v>
      </c>
      <c r="D16" s="44" t="s">
        <v>355</v>
      </c>
      <c r="E16" s="47" t="s">
        <v>356</v>
      </c>
      <c r="F16" s="47" t="s">
        <v>357</v>
      </c>
      <c r="G16" s="46" t="s">
        <v>358</v>
      </c>
      <c r="H16" s="47" t="s">
        <v>359</v>
      </c>
      <c r="I16" s="17" t="s">
        <v>55</v>
      </c>
      <c r="J16" s="50" t="s">
        <v>3</v>
      </c>
      <c r="K16" s="17" t="s">
        <v>226</v>
      </c>
      <c r="L16" s="50" t="s">
        <v>3</v>
      </c>
      <c r="M16" s="40" t="s">
        <v>15</v>
      </c>
      <c r="O16" s="9" t="str">
        <f>N13:O16</f>
        <v>#REF!</v>
      </c>
    </row>
    <row r="17" ht="63.0" customHeight="1">
      <c r="A17" s="40">
        <v>6.0</v>
      </c>
      <c r="B17" s="44" t="str">
        <f t="shared" si="1"/>
        <v>AC - 6</v>
      </c>
      <c r="C17" s="44" t="str">
        <f t="shared" si="2"/>
        <v>Apply Coupon</v>
      </c>
      <c r="D17" s="44" t="s">
        <v>360</v>
      </c>
      <c r="E17" s="47" t="s">
        <v>361</v>
      </c>
      <c r="F17" s="47" t="s">
        <v>362</v>
      </c>
      <c r="G17" s="46" t="s">
        <v>363</v>
      </c>
      <c r="H17" s="47" t="s">
        <v>364</v>
      </c>
      <c r="I17" s="17" t="s">
        <v>55</v>
      </c>
      <c r="J17" s="50" t="s">
        <v>3</v>
      </c>
      <c r="K17" s="17" t="s">
        <v>226</v>
      </c>
      <c r="L17" s="50" t="s">
        <v>3</v>
      </c>
      <c r="M17" s="40" t="s">
        <v>15</v>
      </c>
    </row>
    <row r="18" ht="64.5" customHeight="1">
      <c r="A18" s="40">
        <v>7.0</v>
      </c>
      <c r="B18" s="44" t="str">
        <f t="shared" si="1"/>
        <v>AC - 7</v>
      </c>
      <c r="C18" s="44" t="str">
        <f t="shared" si="2"/>
        <v>Apply Coupon</v>
      </c>
      <c r="D18" s="44" t="s">
        <v>365</v>
      </c>
      <c r="E18" s="47" t="s">
        <v>366</v>
      </c>
      <c r="F18" s="47" t="s">
        <v>367</v>
      </c>
      <c r="G18" s="46" t="s">
        <v>368</v>
      </c>
      <c r="H18" s="47" t="s">
        <v>369</v>
      </c>
      <c r="I18" s="17" t="s">
        <v>55</v>
      </c>
      <c r="J18" s="50" t="s">
        <v>3</v>
      </c>
      <c r="K18" s="17" t="s">
        <v>226</v>
      </c>
      <c r="L18" s="50" t="s">
        <v>3</v>
      </c>
      <c r="M18" s="40" t="s">
        <v>15</v>
      </c>
    </row>
    <row r="19" ht="64.5" customHeight="1">
      <c r="A19" s="40">
        <v>8.0</v>
      </c>
      <c r="B19" s="44" t="str">
        <f t="shared" si="1"/>
        <v>AC - 8</v>
      </c>
      <c r="C19" s="44" t="str">
        <f t="shared" si="2"/>
        <v>Apply Coupon</v>
      </c>
      <c r="D19" s="44" t="s">
        <v>370</v>
      </c>
      <c r="E19" s="47" t="s">
        <v>300</v>
      </c>
      <c r="F19" s="47" t="s">
        <v>371</v>
      </c>
      <c r="G19" s="46" t="s">
        <v>350</v>
      </c>
      <c r="H19" s="47" t="s">
        <v>372</v>
      </c>
      <c r="I19" s="17" t="s">
        <v>55</v>
      </c>
      <c r="J19" s="50" t="s">
        <v>3</v>
      </c>
      <c r="K19" s="17" t="s">
        <v>226</v>
      </c>
      <c r="L19" s="50" t="s">
        <v>3</v>
      </c>
      <c r="M19" s="40" t="s">
        <v>15</v>
      </c>
    </row>
    <row r="20" ht="72.75" customHeight="1">
      <c r="A20" s="40">
        <v>9.0</v>
      </c>
      <c r="B20" s="44" t="str">
        <f t="shared" si="1"/>
        <v>AC - 9</v>
      </c>
      <c r="C20" s="44" t="str">
        <f t="shared" si="2"/>
        <v>Apply Coupon</v>
      </c>
      <c r="D20" s="44" t="s">
        <v>373</v>
      </c>
      <c r="E20" s="47" t="s">
        <v>361</v>
      </c>
      <c r="F20" s="47" t="s">
        <v>374</v>
      </c>
      <c r="G20" s="46" t="s">
        <v>358</v>
      </c>
      <c r="H20" s="47" t="s">
        <v>375</v>
      </c>
      <c r="I20" s="17" t="s">
        <v>55</v>
      </c>
      <c r="J20" s="50" t="s">
        <v>3</v>
      </c>
      <c r="K20" s="17" t="s">
        <v>226</v>
      </c>
      <c r="L20" s="50" t="s">
        <v>3</v>
      </c>
      <c r="M20" s="40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0 L12:L20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9.88"/>
    <col customWidth="1" min="4" max="4" width="31.38"/>
    <col customWidth="1" min="5" max="5" width="22.13"/>
    <col customWidth="1" min="6" max="6" width="33.5"/>
    <col customWidth="1" min="7" max="7" width="23.13"/>
    <col customWidth="1" min="8" max="8" width="34.75"/>
    <col customWidth="1" min="9" max="9" width="18.63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47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376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15</v>
      </c>
      <c r="D6" s="41">
        <f>COUNTIF($J$12:$J$180, "PASS")</f>
        <v>15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15</v>
      </c>
      <c r="D8" s="41">
        <f>COUNTIF($L$12:$L$209, "PASS")</f>
        <v>15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ht="62.25" customHeight="1">
      <c r="A12" s="40">
        <v>1.0</v>
      </c>
      <c r="B12" s="44" t="str">
        <f t="shared" ref="B12:B26" si="1">CONCATENATE($C$2, " - ", A12)</f>
        <v>OM - 1</v>
      </c>
      <c r="C12" s="44" t="str">
        <f t="shared" ref="C12:C26" si="2">$C$1</f>
        <v>Online Marketplace</v>
      </c>
      <c r="D12" s="48" t="s">
        <v>377</v>
      </c>
      <c r="E12" s="48" t="s">
        <v>378</v>
      </c>
      <c r="F12" s="48" t="s">
        <v>379</v>
      </c>
      <c r="G12" s="79" t="s">
        <v>135</v>
      </c>
      <c r="H12" s="48" t="s">
        <v>380</v>
      </c>
      <c r="I12" s="40" t="s">
        <v>60</v>
      </c>
      <c r="J12" s="50" t="s">
        <v>3</v>
      </c>
      <c r="K12" s="40" t="s">
        <v>381</v>
      </c>
      <c r="L12" s="50" t="s">
        <v>3</v>
      </c>
      <c r="M12" s="40" t="s">
        <v>15</v>
      </c>
    </row>
    <row r="13" ht="62.25" customHeight="1">
      <c r="A13" s="40">
        <v>2.0</v>
      </c>
      <c r="B13" s="44" t="str">
        <f t="shared" si="1"/>
        <v>OM - 2</v>
      </c>
      <c r="C13" s="44" t="str">
        <f t="shared" si="2"/>
        <v>Online Marketplace</v>
      </c>
      <c r="D13" s="48" t="s">
        <v>382</v>
      </c>
      <c r="E13" s="48" t="s">
        <v>383</v>
      </c>
      <c r="F13" s="48" t="s">
        <v>384</v>
      </c>
      <c r="G13" s="48" t="s">
        <v>385</v>
      </c>
      <c r="H13" s="48" t="s">
        <v>386</v>
      </c>
      <c r="I13" s="40" t="s">
        <v>60</v>
      </c>
      <c r="J13" s="50" t="s">
        <v>3</v>
      </c>
      <c r="K13" s="40" t="s">
        <v>381</v>
      </c>
      <c r="L13" s="50" t="s">
        <v>3</v>
      </c>
      <c r="M13" s="40" t="s">
        <v>15</v>
      </c>
    </row>
    <row r="14" ht="62.25" customHeight="1">
      <c r="A14" s="40">
        <v>3.0</v>
      </c>
      <c r="B14" s="44" t="str">
        <f t="shared" si="1"/>
        <v>OM - 3</v>
      </c>
      <c r="C14" s="44" t="str">
        <f t="shared" si="2"/>
        <v>Online Marketplace</v>
      </c>
      <c r="D14" s="48" t="s">
        <v>387</v>
      </c>
      <c r="E14" s="48" t="s">
        <v>388</v>
      </c>
      <c r="F14" s="48" t="s">
        <v>389</v>
      </c>
      <c r="G14" s="48" t="s">
        <v>312</v>
      </c>
      <c r="H14" s="48" t="s">
        <v>390</v>
      </c>
      <c r="I14" s="40" t="s">
        <v>60</v>
      </c>
      <c r="J14" s="50" t="s">
        <v>3</v>
      </c>
      <c r="K14" s="40" t="s">
        <v>381</v>
      </c>
      <c r="L14" s="50" t="s">
        <v>3</v>
      </c>
      <c r="M14" s="40" t="s">
        <v>15</v>
      </c>
    </row>
    <row r="15" ht="62.25" customHeight="1">
      <c r="A15" s="40">
        <v>4.0</v>
      </c>
      <c r="B15" s="44" t="str">
        <f t="shared" si="1"/>
        <v>OM - 4</v>
      </c>
      <c r="C15" s="44" t="str">
        <f t="shared" si="2"/>
        <v>Online Marketplace</v>
      </c>
      <c r="D15" s="71" t="s">
        <v>391</v>
      </c>
      <c r="E15" s="48" t="s">
        <v>383</v>
      </c>
      <c r="F15" s="71" t="s">
        <v>392</v>
      </c>
      <c r="G15" s="48" t="s">
        <v>393</v>
      </c>
      <c r="H15" s="48" t="s">
        <v>394</v>
      </c>
      <c r="I15" s="40" t="s">
        <v>60</v>
      </c>
      <c r="J15" s="50" t="s">
        <v>3</v>
      </c>
      <c r="K15" s="40" t="s">
        <v>381</v>
      </c>
      <c r="L15" s="50" t="s">
        <v>3</v>
      </c>
      <c r="M15" s="40" t="s">
        <v>15</v>
      </c>
    </row>
    <row r="16" ht="62.25" customHeight="1">
      <c r="A16" s="40">
        <v>5.0</v>
      </c>
      <c r="B16" s="44" t="str">
        <f t="shared" si="1"/>
        <v>OM - 5</v>
      </c>
      <c r="C16" s="44" t="str">
        <f t="shared" si="2"/>
        <v>Online Marketplace</v>
      </c>
      <c r="D16" s="48" t="s">
        <v>395</v>
      </c>
      <c r="E16" s="48" t="s">
        <v>383</v>
      </c>
      <c r="F16" s="48" t="s">
        <v>396</v>
      </c>
      <c r="G16" s="48" t="s">
        <v>397</v>
      </c>
      <c r="H16" s="71" t="s">
        <v>398</v>
      </c>
      <c r="I16" s="40" t="s">
        <v>60</v>
      </c>
      <c r="J16" s="50" t="s">
        <v>3</v>
      </c>
      <c r="K16" s="40" t="s">
        <v>381</v>
      </c>
      <c r="L16" s="50" t="s">
        <v>3</v>
      </c>
      <c r="M16" s="40" t="s">
        <v>15</v>
      </c>
    </row>
    <row r="17" ht="62.25" customHeight="1">
      <c r="A17" s="40">
        <v>6.0</v>
      </c>
      <c r="B17" s="44" t="str">
        <f t="shared" si="1"/>
        <v>OM - 6</v>
      </c>
      <c r="C17" s="44" t="str">
        <f t="shared" si="2"/>
        <v>Online Marketplace</v>
      </c>
      <c r="D17" s="48" t="s">
        <v>399</v>
      </c>
      <c r="E17" s="48" t="s">
        <v>400</v>
      </c>
      <c r="F17" s="48" t="s">
        <v>401</v>
      </c>
      <c r="G17" s="48" t="s">
        <v>402</v>
      </c>
      <c r="H17" s="48" t="s">
        <v>403</v>
      </c>
      <c r="I17" s="40" t="s">
        <v>60</v>
      </c>
      <c r="J17" s="50" t="s">
        <v>3</v>
      </c>
      <c r="K17" s="40" t="s">
        <v>381</v>
      </c>
      <c r="L17" s="50" t="s">
        <v>3</v>
      </c>
      <c r="M17" s="40" t="s">
        <v>15</v>
      </c>
    </row>
    <row r="18" ht="62.25" customHeight="1">
      <c r="A18" s="40">
        <v>7.0</v>
      </c>
      <c r="B18" s="44" t="str">
        <f t="shared" si="1"/>
        <v>OM - 7</v>
      </c>
      <c r="C18" s="44" t="str">
        <f t="shared" si="2"/>
        <v>Online Marketplace</v>
      </c>
      <c r="D18" s="48" t="s">
        <v>404</v>
      </c>
      <c r="E18" s="48" t="s">
        <v>405</v>
      </c>
      <c r="F18" s="48" t="s">
        <v>406</v>
      </c>
      <c r="G18" s="48" t="s">
        <v>406</v>
      </c>
      <c r="H18" s="48" t="s">
        <v>407</v>
      </c>
      <c r="I18" s="40" t="s">
        <v>60</v>
      </c>
      <c r="J18" s="50" t="s">
        <v>3</v>
      </c>
      <c r="K18" s="40" t="s">
        <v>381</v>
      </c>
      <c r="L18" s="50" t="s">
        <v>3</v>
      </c>
      <c r="M18" s="40" t="s">
        <v>15</v>
      </c>
    </row>
    <row r="19" ht="62.25" customHeight="1">
      <c r="A19" s="40">
        <v>8.0</v>
      </c>
      <c r="B19" s="44" t="str">
        <f t="shared" si="1"/>
        <v>OM - 8</v>
      </c>
      <c r="C19" s="44" t="str">
        <f t="shared" si="2"/>
        <v>Online Marketplace</v>
      </c>
      <c r="D19" s="48" t="s">
        <v>408</v>
      </c>
      <c r="E19" s="48" t="s">
        <v>409</v>
      </c>
      <c r="F19" s="48" t="s">
        <v>410</v>
      </c>
      <c r="G19" s="48" t="s">
        <v>411</v>
      </c>
      <c r="H19" s="48" t="s">
        <v>412</v>
      </c>
      <c r="I19" s="40" t="s">
        <v>60</v>
      </c>
      <c r="J19" s="50" t="s">
        <v>3</v>
      </c>
      <c r="K19" s="40" t="s">
        <v>381</v>
      </c>
      <c r="L19" s="50" t="s">
        <v>3</v>
      </c>
      <c r="M19" s="40" t="s">
        <v>15</v>
      </c>
    </row>
    <row r="20" ht="62.25" customHeight="1">
      <c r="A20" s="40">
        <v>9.0</v>
      </c>
      <c r="B20" s="44" t="str">
        <f t="shared" si="1"/>
        <v>OM - 9</v>
      </c>
      <c r="C20" s="44" t="str">
        <f t="shared" si="2"/>
        <v>Online Marketplace</v>
      </c>
      <c r="D20" s="48" t="s">
        <v>413</v>
      </c>
      <c r="E20" s="48" t="s">
        <v>409</v>
      </c>
      <c r="F20" s="48" t="s">
        <v>414</v>
      </c>
      <c r="G20" s="48" t="s">
        <v>406</v>
      </c>
      <c r="H20" s="48" t="s">
        <v>415</v>
      </c>
      <c r="I20" s="40" t="s">
        <v>60</v>
      </c>
      <c r="J20" s="50" t="s">
        <v>3</v>
      </c>
      <c r="K20" s="40" t="s">
        <v>381</v>
      </c>
      <c r="L20" s="50" t="s">
        <v>3</v>
      </c>
      <c r="M20" s="40" t="s">
        <v>15</v>
      </c>
    </row>
    <row r="21" ht="62.25" customHeight="1">
      <c r="A21" s="40">
        <v>10.0</v>
      </c>
      <c r="B21" s="44" t="str">
        <f t="shared" si="1"/>
        <v>OM - 10</v>
      </c>
      <c r="C21" s="44" t="str">
        <f t="shared" si="2"/>
        <v>Online Marketplace</v>
      </c>
      <c r="D21" s="48" t="s">
        <v>416</v>
      </c>
      <c r="E21" s="48" t="s">
        <v>417</v>
      </c>
      <c r="F21" s="48" t="s">
        <v>418</v>
      </c>
      <c r="G21" s="48" t="s">
        <v>406</v>
      </c>
      <c r="H21" s="48" t="s">
        <v>419</v>
      </c>
      <c r="I21" s="40" t="s">
        <v>60</v>
      </c>
      <c r="J21" s="50" t="s">
        <v>3</v>
      </c>
      <c r="K21" s="40" t="s">
        <v>381</v>
      </c>
      <c r="L21" s="50" t="s">
        <v>3</v>
      </c>
      <c r="M21" s="40" t="s">
        <v>15</v>
      </c>
    </row>
    <row r="22" ht="62.25" customHeight="1">
      <c r="A22" s="40">
        <v>11.0</v>
      </c>
      <c r="B22" s="44" t="str">
        <f t="shared" si="1"/>
        <v>OM - 11</v>
      </c>
      <c r="C22" s="44" t="str">
        <f t="shared" si="2"/>
        <v>Online Marketplace</v>
      </c>
      <c r="D22" s="48" t="s">
        <v>420</v>
      </c>
      <c r="E22" s="48" t="s">
        <v>417</v>
      </c>
      <c r="F22" s="48" t="s">
        <v>421</v>
      </c>
      <c r="G22" s="48" t="s">
        <v>422</v>
      </c>
      <c r="H22" s="48" t="s">
        <v>423</v>
      </c>
      <c r="I22" s="40" t="s">
        <v>60</v>
      </c>
      <c r="J22" s="50" t="s">
        <v>3</v>
      </c>
      <c r="K22" s="40" t="s">
        <v>381</v>
      </c>
      <c r="L22" s="50" t="s">
        <v>3</v>
      </c>
      <c r="M22" s="40" t="s">
        <v>15</v>
      </c>
    </row>
    <row r="23" ht="62.25" customHeight="1">
      <c r="A23" s="70">
        <v>12.0</v>
      </c>
      <c r="B23" s="40" t="str">
        <f t="shared" si="1"/>
        <v>OM - 12</v>
      </c>
      <c r="C23" s="44" t="str">
        <f t="shared" si="2"/>
        <v>Online Marketplace</v>
      </c>
      <c r="D23" s="48" t="s">
        <v>424</v>
      </c>
      <c r="E23" s="48" t="s">
        <v>417</v>
      </c>
      <c r="F23" s="48" t="s">
        <v>425</v>
      </c>
      <c r="G23" s="48" t="s">
        <v>426</v>
      </c>
      <c r="H23" s="48" t="s">
        <v>427</v>
      </c>
      <c r="I23" s="40" t="s">
        <v>60</v>
      </c>
      <c r="J23" s="50" t="s">
        <v>3</v>
      </c>
      <c r="K23" s="40" t="s">
        <v>381</v>
      </c>
      <c r="L23" s="50" t="s">
        <v>3</v>
      </c>
      <c r="M23" s="40" t="s">
        <v>15</v>
      </c>
    </row>
    <row r="24" ht="62.25" customHeight="1">
      <c r="A24" s="70">
        <v>13.0</v>
      </c>
      <c r="B24" s="40" t="str">
        <f t="shared" si="1"/>
        <v>OM - 13</v>
      </c>
      <c r="C24" s="44" t="str">
        <f t="shared" si="2"/>
        <v>Online Marketplace</v>
      </c>
      <c r="D24" s="48" t="s">
        <v>428</v>
      </c>
      <c r="E24" s="48" t="s">
        <v>429</v>
      </c>
      <c r="F24" s="48" t="s">
        <v>430</v>
      </c>
      <c r="G24" s="48" t="s">
        <v>431</v>
      </c>
      <c r="H24" s="48" t="s">
        <v>432</v>
      </c>
      <c r="I24" s="40" t="s">
        <v>60</v>
      </c>
      <c r="J24" s="50" t="s">
        <v>3</v>
      </c>
      <c r="K24" s="40" t="s">
        <v>381</v>
      </c>
      <c r="L24" s="50" t="s">
        <v>3</v>
      </c>
      <c r="M24" s="40" t="s">
        <v>15</v>
      </c>
    </row>
    <row r="25" ht="62.25" customHeight="1">
      <c r="A25" s="40">
        <v>14.0</v>
      </c>
      <c r="B25" s="44" t="str">
        <f t="shared" si="1"/>
        <v>OM - 14</v>
      </c>
      <c r="C25" s="44" t="str">
        <f t="shared" si="2"/>
        <v>Online Marketplace</v>
      </c>
      <c r="D25" s="48" t="s">
        <v>433</v>
      </c>
      <c r="E25" s="48" t="s">
        <v>434</v>
      </c>
      <c r="F25" s="48" t="s">
        <v>435</v>
      </c>
      <c r="G25" s="48" t="s">
        <v>406</v>
      </c>
      <c r="H25" s="48" t="s">
        <v>436</v>
      </c>
      <c r="I25" s="40" t="s">
        <v>60</v>
      </c>
      <c r="J25" s="50" t="s">
        <v>3</v>
      </c>
      <c r="K25" s="40" t="s">
        <v>381</v>
      </c>
      <c r="L25" s="50" t="s">
        <v>3</v>
      </c>
      <c r="M25" s="40" t="s">
        <v>15</v>
      </c>
    </row>
    <row r="26" ht="62.25" customHeight="1">
      <c r="A26" s="40">
        <v>15.0</v>
      </c>
      <c r="B26" s="44" t="str">
        <f t="shared" si="1"/>
        <v>OM - 15</v>
      </c>
      <c r="C26" s="44" t="str">
        <f t="shared" si="2"/>
        <v>Online Marketplace</v>
      </c>
      <c r="D26" s="48" t="s">
        <v>437</v>
      </c>
      <c r="E26" s="48" t="s">
        <v>438</v>
      </c>
      <c r="F26" s="48" t="s">
        <v>439</v>
      </c>
      <c r="G26" s="48" t="s">
        <v>431</v>
      </c>
      <c r="H26" s="48" t="s">
        <v>440</v>
      </c>
      <c r="I26" s="40" t="s">
        <v>60</v>
      </c>
      <c r="J26" s="50" t="s">
        <v>3</v>
      </c>
      <c r="K26" s="40" t="s">
        <v>381</v>
      </c>
      <c r="L26" s="50" t="s">
        <v>3</v>
      </c>
      <c r="M26" s="40" t="s">
        <v>15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6 L12:L26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4.13"/>
    <col customWidth="1" min="4" max="4" width="33.88"/>
    <col customWidth="1" min="5" max="5" width="42.5"/>
    <col customWidth="1" min="6" max="6" width="36.5"/>
    <col customWidth="1" min="7" max="7" width="38.25"/>
    <col customWidth="1" min="8" max="8" width="24.5"/>
    <col customWidth="1" min="9" max="10" width="18.63"/>
    <col customWidth="1" min="11" max="11" width="19.5"/>
    <col customWidth="1" min="12" max="12" width="16.25"/>
    <col customWidth="1" min="13" max="13" width="24.25"/>
  </cols>
  <sheetData>
    <row r="1">
      <c r="A1" s="28" t="s">
        <v>63</v>
      </c>
      <c r="B1" s="29"/>
      <c r="C1" s="30" t="s">
        <v>441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442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13</v>
      </c>
      <c r="D6" s="41">
        <f>COUNTIF($J$12:$J$180, "PASS")</f>
        <v>12</v>
      </c>
      <c r="E6" s="41">
        <f>COUNTIF($J$12:$J$182, "FAIL")</f>
        <v>1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13</v>
      </c>
      <c r="D8" s="41">
        <f>COUNTIF($L$12:$L$209, "PASS")</f>
        <v>12</v>
      </c>
      <c r="E8" s="41">
        <f>COUNTIF($L$12:$L$211, "FAIL")</f>
        <v>1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ht="63.75" customHeight="1">
      <c r="A12" s="40">
        <v>1.0</v>
      </c>
      <c r="B12" s="51" t="str">
        <f t="shared" ref="B12:B24" si="1">CONCATENATE($C$2, " - ", A12)</f>
        <v>PM - 1</v>
      </c>
      <c r="C12" s="44" t="str">
        <f t="shared" ref="C12:C24" si="2">$C$1</f>
        <v>Product Management </v>
      </c>
      <c r="D12" s="46" t="s">
        <v>377</v>
      </c>
      <c r="E12" s="46" t="s">
        <v>315</v>
      </c>
      <c r="F12" s="46" t="s">
        <v>443</v>
      </c>
      <c r="G12" s="46" t="s">
        <v>444</v>
      </c>
      <c r="H12" s="46" t="s">
        <v>445</v>
      </c>
      <c r="I12" s="40" t="s">
        <v>60</v>
      </c>
      <c r="J12" s="50" t="s">
        <v>3</v>
      </c>
      <c r="K12" s="40" t="s">
        <v>381</v>
      </c>
      <c r="L12" s="50" t="s">
        <v>3</v>
      </c>
      <c r="M12" s="40" t="s">
        <v>15</v>
      </c>
    </row>
    <row r="13" ht="71.25" customHeight="1">
      <c r="A13" s="40">
        <v>2.0</v>
      </c>
      <c r="B13" s="51" t="str">
        <f t="shared" si="1"/>
        <v>PM - 2</v>
      </c>
      <c r="C13" s="44" t="str">
        <f t="shared" si="2"/>
        <v>Product Management </v>
      </c>
      <c r="D13" s="46" t="s">
        <v>446</v>
      </c>
      <c r="E13" s="46" t="s">
        <v>315</v>
      </c>
      <c r="F13" s="47" t="s">
        <v>447</v>
      </c>
      <c r="G13" s="46" t="s">
        <v>448</v>
      </c>
      <c r="H13" s="46" t="s">
        <v>449</v>
      </c>
      <c r="I13" s="40" t="s">
        <v>60</v>
      </c>
      <c r="J13" s="50" t="s">
        <v>3</v>
      </c>
      <c r="K13" s="40" t="s">
        <v>381</v>
      </c>
      <c r="L13" s="50" t="s">
        <v>3</v>
      </c>
      <c r="M13" s="40" t="s">
        <v>15</v>
      </c>
    </row>
    <row r="14" ht="89.25" customHeight="1">
      <c r="A14" s="40">
        <v>3.0</v>
      </c>
      <c r="B14" s="51" t="str">
        <f t="shared" si="1"/>
        <v>PM - 3</v>
      </c>
      <c r="C14" s="44" t="str">
        <f t="shared" si="2"/>
        <v>Product Management </v>
      </c>
      <c r="D14" s="46" t="s">
        <v>450</v>
      </c>
      <c r="E14" s="46" t="s">
        <v>315</v>
      </c>
      <c r="F14" s="47" t="s">
        <v>451</v>
      </c>
      <c r="G14" s="46" t="s">
        <v>452</v>
      </c>
      <c r="H14" s="46" t="s">
        <v>318</v>
      </c>
      <c r="I14" s="40" t="s">
        <v>60</v>
      </c>
      <c r="J14" s="50" t="s">
        <v>3</v>
      </c>
      <c r="K14" s="40" t="s">
        <v>381</v>
      </c>
      <c r="L14" s="50" t="s">
        <v>3</v>
      </c>
      <c r="M14" s="40" t="s">
        <v>15</v>
      </c>
    </row>
    <row r="15" ht="88.5" customHeight="1">
      <c r="A15" s="40">
        <v>4.0</v>
      </c>
      <c r="B15" s="51" t="str">
        <f t="shared" si="1"/>
        <v>PM - 4</v>
      </c>
      <c r="C15" s="44" t="str">
        <f t="shared" si="2"/>
        <v>Product Management </v>
      </c>
      <c r="D15" s="46" t="s">
        <v>453</v>
      </c>
      <c r="E15" s="46" t="s">
        <v>453</v>
      </c>
      <c r="F15" s="47" t="s">
        <v>454</v>
      </c>
      <c r="G15" s="46" t="s">
        <v>455</v>
      </c>
      <c r="H15" s="46" t="s">
        <v>456</v>
      </c>
      <c r="I15" s="40" t="s">
        <v>60</v>
      </c>
      <c r="J15" s="77" t="s">
        <v>4</v>
      </c>
      <c r="K15" s="40" t="s">
        <v>381</v>
      </c>
      <c r="L15" s="77" t="s">
        <v>4</v>
      </c>
      <c r="M15" s="40" t="s">
        <v>15</v>
      </c>
    </row>
    <row r="16" ht="89.25" customHeight="1">
      <c r="A16" s="40">
        <v>5.0</v>
      </c>
      <c r="B16" s="51" t="str">
        <f t="shared" si="1"/>
        <v>PM - 5</v>
      </c>
      <c r="C16" s="44" t="str">
        <f t="shared" si="2"/>
        <v>Product Management </v>
      </c>
      <c r="D16" s="46" t="s">
        <v>457</v>
      </c>
      <c r="E16" s="46" t="s">
        <v>383</v>
      </c>
      <c r="F16" s="47" t="s">
        <v>458</v>
      </c>
      <c r="G16" s="46" t="s">
        <v>459</v>
      </c>
      <c r="H16" s="46" t="s">
        <v>460</v>
      </c>
      <c r="I16" s="40" t="s">
        <v>60</v>
      </c>
      <c r="J16" s="50" t="s">
        <v>3</v>
      </c>
      <c r="K16" s="40" t="s">
        <v>381</v>
      </c>
      <c r="L16" s="50" t="s">
        <v>3</v>
      </c>
      <c r="M16" s="40" t="s">
        <v>15</v>
      </c>
    </row>
    <row r="17" ht="78.0" customHeight="1">
      <c r="A17" s="40">
        <v>6.0</v>
      </c>
      <c r="B17" s="51" t="str">
        <f t="shared" si="1"/>
        <v>PM - 6</v>
      </c>
      <c r="C17" s="44" t="str">
        <f t="shared" si="2"/>
        <v>Product Management </v>
      </c>
      <c r="D17" s="46" t="s">
        <v>461</v>
      </c>
      <c r="E17" s="46" t="s">
        <v>383</v>
      </c>
      <c r="F17" s="47" t="s">
        <v>458</v>
      </c>
      <c r="G17" s="47" t="s">
        <v>462</v>
      </c>
      <c r="H17" s="46" t="s">
        <v>456</v>
      </c>
      <c r="I17" s="40" t="s">
        <v>60</v>
      </c>
      <c r="J17" s="50" t="s">
        <v>3</v>
      </c>
      <c r="K17" s="40" t="s">
        <v>381</v>
      </c>
      <c r="L17" s="50" t="s">
        <v>3</v>
      </c>
      <c r="M17" s="40" t="s">
        <v>15</v>
      </c>
    </row>
    <row r="18" ht="72.0" customHeight="1">
      <c r="A18" s="40">
        <v>7.0</v>
      </c>
      <c r="B18" s="51" t="str">
        <f t="shared" si="1"/>
        <v>PM - 7</v>
      </c>
      <c r="C18" s="44" t="str">
        <f t="shared" si="2"/>
        <v>Product Management </v>
      </c>
      <c r="D18" s="46" t="s">
        <v>463</v>
      </c>
      <c r="E18" s="46" t="s">
        <v>383</v>
      </c>
      <c r="F18" s="47" t="s">
        <v>464</v>
      </c>
      <c r="G18" s="46" t="s">
        <v>385</v>
      </c>
      <c r="H18" s="46" t="s">
        <v>465</v>
      </c>
      <c r="I18" s="40" t="s">
        <v>60</v>
      </c>
      <c r="J18" s="50" t="s">
        <v>3</v>
      </c>
      <c r="K18" s="40" t="s">
        <v>381</v>
      </c>
      <c r="L18" s="50" t="s">
        <v>3</v>
      </c>
      <c r="M18" s="40" t="s">
        <v>15</v>
      </c>
    </row>
    <row r="19" ht="54.0" customHeight="1">
      <c r="A19" s="40">
        <v>8.0</v>
      </c>
      <c r="B19" s="51" t="str">
        <f t="shared" si="1"/>
        <v>PM - 8</v>
      </c>
      <c r="C19" s="44" t="str">
        <f t="shared" si="2"/>
        <v>Product Management </v>
      </c>
      <c r="D19" s="46" t="s">
        <v>466</v>
      </c>
      <c r="E19" s="46" t="s">
        <v>466</v>
      </c>
      <c r="F19" s="47" t="s">
        <v>467</v>
      </c>
      <c r="G19" s="46" t="s">
        <v>385</v>
      </c>
      <c r="H19" s="46" t="s">
        <v>468</v>
      </c>
      <c r="I19" s="40" t="s">
        <v>60</v>
      </c>
      <c r="J19" s="50" t="s">
        <v>3</v>
      </c>
      <c r="K19" s="40" t="s">
        <v>381</v>
      </c>
      <c r="L19" s="50" t="s">
        <v>3</v>
      </c>
      <c r="M19" s="40" t="s">
        <v>15</v>
      </c>
    </row>
    <row r="20" ht="71.25" customHeight="1">
      <c r="A20" s="64">
        <v>9.0</v>
      </c>
      <c r="B20" s="51" t="str">
        <f t="shared" si="1"/>
        <v>PM - 9</v>
      </c>
      <c r="C20" s="44" t="str">
        <f t="shared" si="2"/>
        <v>Product Management </v>
      </c>
      <c r="D20" s="46" t="s">
        <v>391</v>
      </c>
      <c r="E20" s="46" t="s">
        <v>469</v>
      </c>
      <c r="F20" s="46" t="s">
        <v>470</v>
      </c>
      <c r="G20" s="46" t="s">
        <v>393</v>
      </c>
      <c r="H20" s="46" t="s">
        <v>471</v>
      </c>
      <c r="I20" s="40" t="s">
        <v>60</v>
      </c>
      <c r="J20" s="50" t="s">
        <v>3</v>
      </c>
      <c r="K20" s="40" t="s">
        <v>381</v>
      </c>
      <c r="L20" s="50" t="s">
        <v>3</v>
      </c>
      <c r="M20" s="40" t="s">
        <v>15</v>
      </c>
    </row>
    <row r="21" ht="60.0" customHeight="1">
      <c r="A21" s="40">
        <v>10.0</v>
      </c>
      <c r="B21" s="80" t="str">
        <f t="shared" si="1"/>
        <v>PM - 10</v>
      </c>
      <c r="C21" s="44" t="str">
        <f t="shared" si="2"/>
        <v>Product Management </v>
      </c>
      <c r="D21" s="46" t="s">
        <v>472</v>
      </c>
      <c r="E21" s="46" t="s">
        <v>469</v>
      </c>
      <c r="F21" s="46" t="s">
        <v>473</v>
      </c>
      <c r="G21" s="46" t="s">
        <v>397</v>
      </c>
      <c r="H21" s="46" t="s">
        <v>474</v>
      </c>
      <c r="I21" s="40" t="s">
        <v>60</v>
      </c>
      <c r="J21" s="50" t="s">
        <v>3</v>
      </c>
      <c r="K21" s="40" t="s">
        <v>381</v>
      </c>
      <c r="L21" s="50" t="s">
        <v>3</v>
      </c>
      <c r="M21" s="40" t="s">
        <v>15</v>
      </c>
    </row>
    <row r="22" ht="58.5" customHeight="1">
      <c r="A22" s="81">
        <v>11.0</v>
      </c>
      <c r="B22" s="80" t="str">
        <f t="shared" si="1"/>
        <v>PM - 11</v>
      </c>
      <c r="C22" s="44" t="str">
        <f t="shared" si="2"/>
        <v>Product Management </v>
      </c>
      <c r="D22" s="46" t="s">
        <v>475</v>
      </c>
      <c r="E22" s="46" t="s">
        <v>315</v>
      </c>
      <c r="F22" s="46" t="s">
        <v>476</v>
      </c>
      <c r="G22" s="46" t="s">
        <v>477</v>
      </c>
      <c r="H22" s="46" t="s">
        <v>478</v>
      </c>
      <c r="I22" s="40" t="s">
        <v>60</v>
      </c>
      <c r="J22" s="50" t="s">
        <v>3</v>
      </c>
      <c r="K22" s="40" t="s">
        <v>381</v>
      </c>
      <c r="L22" s="50" t="s">
        <v>3</v>
      </c>
      <c r="M22" s="40" t="s">
        <v>15</v>
      </c>
    </row>
    <row r="23" ht="63.0" customHeight="1">
      <c r="A23" s="81">
        <v>12.0</v>
      </c>
      <c r="B23" s="80" t="str">
        <f t="shared" si="1"/>
        <v>PM - 12</v>
      </c>
      <c r="C23" s="44" t="str">
        <f t="shared" si="2"/>
        <v>Product Management </v>
      </c>
      <c r="D23" s="47" t="s">
        <v>479</v>
      </c>
      <c r="E23" s="46" t="s">
        <v>315</v>
      </c>
      <c r="F23" s="46" t="s">
        <v>480</v>
      </c>
      <c r="G23" s="46" t="s">
        <v>481</v>
      </c>
      <c r="H23" s="46" t="s">
        <v>456</v>
      </c>
      <c r="I23" s="40" t="s">
        <v>60</v>
      </c>
      <c r="J23" s="50" t="s">
        <v>3</v>
      </c>
      <c r="K23" s="40" t="s">
        <v>381</v>
      </c>
      <c r="L23" s="50" t="s">
        <v>3</v>
      </c>
      <c r="M23" s="40" t="s">
        <v>15</v>
      </c>
    </row>
    <row r="24" ht="69.0" customHeight="1">
      <c r="A24" s="81">
        <v>13.0</v>
      </c>
      <c r="B24" s="80" t="str">
        <f t="shared" si="1"/>
        <v>PM - 13</v>
      </c>
      <c r="C24" s="44" t="str">
        <f t="shared" si="2"/>
        <v>Product Management </v>
      </c>
      <c r="D24" s="46" t="s">
        <v>482</v>
      </c>
      <c r="E24" s="46" t="s">
        <v>483</v>
      </c>
      <c r="F24" s="46" t="s">
        <v>484</v>
      </c>
      <c r="G24" s="46" t="s">
        <v>485</v>
      </c>
      <c r="H24" s="46" t="s">
        <v>486</v>
      </c>
      <c r="I24" s="40" t="s">
        <v>60</v>
      </c>
      <c r="J24" s="50" t="s">
        <v>3</v>
      </c>
      <c r="K24" s="40" t="s">
        <v>381</v>
      </c>
      <c r="L24" s="50" t="s">
        <v>3</v>
      </c>
      <c r="M24" s="40" t="s">
        <v>15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4 L12:L24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9.25"/>
    <col customWidth="1" min="4" max="4" width="42.25"/>
    <col customWidth="1" min="5" max="5" width="19.0"/>
    <col customWidth="1" min="6" max="6" width="33.75"/>
    <col customWidth="1" min="7" max="7" width="23.13"/>
    <col customWidth="1" min="8" max="8" width="38.88"/>
    <col customWidth="1" min="9" max="9" width="18.63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487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488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10</v>
      </c>
      <c r="D6" s="41">
        <f>COUNTIF($J$12:$J$180, "PASS")</f>
        <v>10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 ht="15.0" customHeight="1">
      <c r="A8" s="38"/>
      <c r="B8" s="39"/>
      <c r="C8" s="40">
        <f>COUNTIF($M$12:$M$480, "&lt;&gt;")</f>
        <v>10</v>
      </c>
      <c r="D8" s="41">
        <f>COUNTIF($L$12:$L$209, "PASS")</f>
        <v>10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62"/>
      <c r="F11" s="62"/>
      <c r="G11" s="62"/>
      <c r="H11" s="62"/>
      <c r="I11" s="13"/>
      <c r="J11" s="13"/>
      <c r="K11" s="13"/>
      <c r="L11" s="13"/>
      <c r="M11" s="13"/>
    </row>
    <row r="12" ht="81.75" customHeight="1">
      <c r="A12" s="40">
        <v>1.0</v>
      </c>
      <c r="B12" s="44" t="str">
        <f t="shared" ref="B12:B21" si="1">CONCATENATE($C$2, " - ", A12)</f>
        <v>SFP - 1</v>
      </c>
      <c r="C12" s="51" t="str">
        <f t="shared" ref="C12:C21" si="2">$C$1</f>
        <v>Search &amp; Filter Products </v>
      </c>
      <c r="D12" s="48" t="s">
        <v>489</v>
      </c>
      <c r="E12" s="71" t="s">
        <v>469</v>
      </c>
      <c r="F12" s="48" t="s">
        <v>490</v>
      </c>
      <c r="G12" s="79" t="s">
        <v>491</v>
      </c>
      <c r="H12" s="48" t="s">
        <v>394</v>
      </c>
      <c r="I12" s="40" t="s">
        <v>60</v>
      </c>
      <c r="J12" s="50" t="s">
        <v>3</v>
      </c>
      <c r="K12" s="40" t="s">
        <v>381</v>
      </c>
      <c r="L12" s="50" t="s">
        <v>3</v>
      </c>
      <c r="M12" s="40" t="s">
        <v>15</v>
      </c>
    </row>
    <row r="13" ht="60.0" customHeight="1">
      <c r="A13" s="40">
        <v>2.0</v>
      </c>
      <c r="B13" s="44" t="str">
        <f t="shared" si="1"/>
        <v>SFP - 2</v>
      </c>
      <c r="C13" s="51" t="str">
        <f t="shared" si="2"/>
        <v>Search &amp; Filter Products </v>
      </c>
      <c r="D13" s="48" t="s">
        <v>492</v>
      </c>
      <c r="E13" s="48" t="s">
        <v>469</v>
      </c>
      <c r="F13" s="48" t="s">
        <v>493</v>
      </c>
      <c r="G13" s="48" t="s">
        <v>494</v>
      </c>
      <c r="H13" s="48" t="s">
        <v>495</v>
      </c>
      <c r="I13" s="40" t="s">
        <v>60</v>
      </c>
      <c r="J13" s="50" t="s">
        <v>3</v>
      </c>
      <c r="K13" s="40" t="s">
        <v>381</v>
      </c>
      <c r="L13" s="50" t="s">
        <v>3</v>
      </c>
      <c r="M13" s="40" t="s">
        <v>15</v>
      </c>
    </row>
    <row r="14" ht="67.5" customHeight="1">
      <c r="A14" s="40">
        <v>3.0</v>
      </c>
      <c r="B14" s="44" t="str">
        <f t="shared" si="1"/>
        <v>SFP - 3</v>
      </c>
      <c r="C14" s="51" t="str">
        <f t="shared" si="2"/>
        <v>Search &amp; Filter Products </v>
      </c>
      <c r="D14" s="48" t="s">
        <v>496</v>
      </c>
      <c r="E14" s="48" t="s">
        <v>469</v>
      </c>
      <c r="F14" s="48" t="s">
        <v>497</v>
      </c>
      <c r="G14" s="48" t="s">
        <v>498</v>
      </c>
      <c r="H14" s="71" t="s">
        <v>499</v>
      </c>
      <c r="I14" s="40" t="s">
        <v>60</v>
      </c>
      <c r="J14" s="50" t="s">
        <v>3</v>
      </c>
      <c r="K14" s="40" t="s">
        <v>381</v>
      </c>
      <c r="L14" s="50" t="s">
        <v>3</v>
      </c>
      <c r="M14" s="40" t="s">
        <v>15</v>
      </c>
    </row>
    <row r="15" ht="57.75" customHeight="1">
      <c r="A15" s="40">
        <v>4.0</v>
      </c>
      <c r="B15" s="44" t="str">
        <f t="shared" si="1"/>
        <v>SFP - 4</v>
      </c>
      <c r="C15" s="51" t="str">
        <f t="shared" si="2"/>
        <v>Search &amp; Filter Products </v>
      </c>
      <c r="D15" s="48" t="s">
        <v>500</v>
      </c>
      <c r="E15" s="48" t="s">
        <v>469</v>
      </c>
      <c r="F15" s="48" t="s">
        <v>501</v>
      </c>
      <c r="G15" s="48" t="s">
        <v>502</v>
      </c>
      <c r="H15" s="71" t="s">
        <v>499</v>
      </c>
      <c r="I15" s="40" t="s">
        <v>60</v>
      </c>
      <c r="J15" s="50" t="s">
        <v>3</v>
      </c>
      <c r="K15" s="40" t="s">
        <v>381</v>
      </c>
      <c r="L15" s="50" t="s">
        <v>3</v>
      </c>
      <c r="M15" s="40" t="s">
        <v>15</v>
      </c>
    </row>
    <row r="16" ht="65.25" customHeight="1">
      <c r="A16" s="40">
        <v>5.0</v>
      </c>
      <c r="B16" s="44" t="str">
        <f t="shared" si="1"/>
        <v>SFP - 5</v>
      </c>
      <c r="C16" s="51" t="str">
        <f t="shared" si="2"/>
        <v>Search &amp; Filter Products </v>
      </c>
      <c r="D16" s="48" t="s">
        <v>503</v>
      </c>
      <c r="E16" s="48" t="s">
        <v>469</v>
      </c>
      <c r="F16" s="48" t="s">
        <v>504</v>
      </c>
      <c r="G16" s="48" t="s">
        <v>505</v>
      </c>
      <c r="H16" s="48" t="s">
        <v>506</v>
      </c>
      <c r="I16" s="40" t="s">
        <v>60</v>
      </c>
      <c r="J16" s="50" t="s">
        <v>3</v>
      </c>
      <c r="K16" s="40" t="s">
        <v>381</v>
      </c>
      <c r="L16" s="50" t="s">
        <v>3</v>
      </c>
      <c r="M16" s="40" t="s">
        <v>15</v>
      </c>
    </row>
    <row r="17" ht="65.25" customHeight="1">
      <c r="A17" s="40">
        <v>6.0</v>
      </c>
      <c r="B17" s="44" t="str">
        <f t="shared" si="1"/>
        <v>SFP - 6</v>
      </c>
      <c r="C17" s="51" t="str">
        <f t="shared" si="2"/>
        <v>Search &amp; Filter Products </v>
      </c>
      <c r="D17" s="48" t="s">
        <v>387</v>
      </c>
      <c r="E17" s="48" t="s">
        <v>388</v>
      </c>
      <c r="F17" s="48" t="s">
        <v>389</v>
      </c>
      <c r="G17" s="48" t="s">
        <v>507</v>
      </c>
      <c r="H17" s="48" t="s">
        <v>508</v>
      </c>
      <c r="I17" s="40" t="s">
        <v>60</v>
      </c>
      <c r="J17" s="50" t="s">
        <v>3</v>
      </c>
      <c r="K17" s="40" t="s">
        <v>381</v>
      </c>
      <c r="L17" s="50" t="s">
        <v>3</v>
      </c>
      <c r="M17" s="40" t="s">
        <v>15</v>
      </c>
    </row>
    <row r="18" ht="62.25" customHeight="1">
      <c r="A18" s="40">
        <v>7.0</v>
      </c>
      <c r="B18" s="44" t="str">
        <f t="shared" si="1"/>
        <v>SFP - 7</v>
      </c>
      <c r="C18" s="51" t="str">
        <f t="shared" si="2"/>
        <v>Search &amp; Filter Products </v>
      </c>
      <c r="D18" s="48" t="s">
        <v>509</v>
      </c>
      <c r="E18" s="48" t="s">
        <v>388</v>
      </c>
      <c r="F18" s="48" t="s">
        <v>510</v>
      </c>
      <c r="G18" s="48" t="s">
        <v>511</v>
      </c>
      <c r="H18" s="48" t="s">
        <v>506</v>
      </c>
      <c r="I18" s="40" t="s">
        <v>60</v>
      </c>
      <c r="J18" s="50" t="s">
        <v>3</v>
      </c>
      <c r="K18" s="40" t="s">
        <v>381</v>
      </c>
      <c r="L18" s="50" t="s">
        <v>3</v>
      </c>
      <c r="M18" s="40" t="s">
        <v>15</v>
      </c>
    </row>
    <row r="19" ht="66.0" customHeight="1">
      <c r="A19" s="40">
        <v>8.0</v>
      </c>
      <c r="B19" s="44" t="str">
        <f t="shared" si="1"/>
        <v>SFP - 8</v>
      </c>
      <c r="C19" s="51" t="str">
        <f t="shared" si="2"/>
        <v>Search &amp; Filter Products </v>
      </c>
      <c r="D19" s="48" t="s">
        <v>512</v>
      </c>
      <c r="E19" s="48" t="s">
        <v>469</v>
      </c>
      <c r="F19" s="48" t="s">
        <v>513</v>
      </c>
      <c r="G19" s="71" t="s">
        <v>514</v>
      </c>
      <c r="H19" s="48" t="s">
        <v>515</v>
      </c>
      <c r="I19" s="40" t="s">
        <v>60</v>
      </c>
      <c r="J19" s="50" t="s">
        <v>3</v>
      </c>
      <c r="K19" s="40" t="s">
        <v>381</v>
      </c>
      <c r="L19" s="50" t="s">
        <v>3</v>
      </c>
      <c r="M19" s="40" t="s">
        <v>15</v>
      </c>
    </row>
    <row r="20" ht="70.5" customHeight="1">
      <c r="A20" s="40">
        <v>9.0</v>
      </c>
      <c r="B20" s="44" t="str">
        <f t="shared" si="1"/>
        <v>SFP - 9</v>
      </c>
      <c r="C20" s="51" t="str">
        <f t="shared" si="2"/>
        <v>Search &amp; Filter Products </v>
      </c>
      <c r="D20" s="48" t="s">
        <v>516</v>
      </c>
      <c r="E20" s="48" t="s">
        <v>469</v>
      </c>
      <c r="F20" s="48" t="s">
        <v>517</v>
      </c>
      <c r="G20" s="71" t="s">
        <v>518</v>
      </c>
      <c r="H20" s="48" t="s">
        <v>519</v>
      </c>
      <c r="I20" s="40" t="s">
        <v>60</v>
      </c>
      <c r="J20" s="50" t="s">
        <v>3</v>
      </c>
      <c r="K20" s="40" t="s">
        <v>381</v>
      </c>
      <c r="L20" s="50" t="s">
        <v>3</v>
      </c>
      <c r="M20" s="40" t="s">
        <v>15</v>
      </c>
    </row>
    <row r="21" ht="91.5" customHeight="1">
      <c r="A21" s="40">
        <v>10.0</v>
      </c>
      <c r="B21" s="44" t="str">
        <f t="shared" si="1"/>
        <v>SFP - 10</v>
      </c>
      <c r="C21" s="51" t="str">
        <f t="shared" si="2"/>
        <v>Search &amp; Filter Products </v>
      </c>
      <c r="D21" s="48" t="s">
        <v>520</v>
      </c>
      <c r="E21" s="48" t="s">
        <v>469</v>
      </c>
      <c r="F21" s="48" t="s">
        <v>521</v>
      </c>
      <c r="G21" s="48" t="s">
        <v>522</v>
      </c>
      <c r="H21" s="71" t="s">
        <v>523</v>
      </c>
      <c r="I21" s="40" t="s">
        <v>60</v>
      </c>
      <c r="J21" s="50" t="s">
        <v>3</v>
      </c>
      <c r="K21" s="40" t="s">
        <v>381</v>
      </c>
      <c r="L21" s="50" t="s">
        <v>3</v>
      </c>
      <c r="M21" s="40" t="s">
        <v>15</v>
      </c>
    </row>
    <row r="22" ht="15.0" customHeight="1">
      <c r="D22" s="9"/>
      <c r="E22" s="9"/>
      <c r="F22" s="9"/>
      <c r="G22" s="9"/>
      <c r="H22" s="82"/>
    </row>
    <row r="23" ht="15.0" customHeight="1">
      <c r="H23" s="8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1 L12:L21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32.63"/>
    <col customWidth="1" min="5" max="5" width="19.0"/>
    <col customWidth="1" min="6" max="6" width="35.13"/>
    <col customWidth="1" min="7" max="7" width="23.13"/>
    <col customWidth="1" min="8" max="8" width="31.0"/>
    <col customWidth="1" min="9" max="9" width="18.63"/>
    <col customWidth="1" min="10" max="10" width="18.25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54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524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20</v>
      </c>
      <c r="D6" s="41">
        <f>COUNTIF($J$12:$J$180, "PASS")</f>
        <v>20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20</v>
      </c>
      <c r="D8" s="41">
        <f>COUNTIF($L$12:$L$209, "PASS")</f>
        <v>20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ht="115.5" customHeight="1">
      <c r="A12" s="40">
        <v>1.0</v>
      </c>
      <c r="B12" s="44" t="str">
        <f t="shared" ref="B12:B31" si="1">CONCATENATE($C$2, " - ", A12)</f>
        <v>CPM - 1</v>
      </c>
      <c r="C12" s="44" t="str">
        <f t="shared" ref="C12:C31" si="2">$C$1</f>
        <v>Coupon Management</v>
      </c>
      <c r="D12" s="48" t="s">
        <v>525</v>
      </c>
      <c r="E12" s="48" t="s">
        <v>315</v>
      </c>
      <c r="F12" s="48" t="s">
        <v>526</v>
      </c>
      <c r="G12" s="48" t="s">
        <v>406</v>
      </c>
      <c r="H12" s="48" t="s">
        <v>527</v>
      </c>
      <c r="I12" s="17" t="s">
        <v>60</v>
      </c>
      <c r="J12" s="50" t="s">
        <v>3</v>
      </c>
      <c r="K12" s="17" t="s">
        <v>226</v>
      </c>
      <c r="L12" s="50" t="s">
        <v>3</v>
      </c>
      <c r="M12" s="40" t="s">
        <v>15</v>
      </c>
    </row>
    <row r="13" ht="115.5" customHeight="1">
      <c r="A13" s="40">
        <v>2.0</v>
      </c>
      <c r="B13" s="44" t="str">
        <f t="shared" si="1"/>
        <v>CPM - 2</v>
      </c>
      <c r="C13" s="44" t="str">
        <f t="shared" si="2"/>
        <v>Coupon Management</v>
      </c>
      <c r="D13" s="48" t="s">
        <v>528</v>
      </c>
      <c r="E13" s="48" t="s">
        <v>315</v>
      </c>
      <c r="F13" s="48" t="s">
        <v>529</v>
      </c>
      <c r="G13" s="48" t="s">
        <v>530</v>
      </c>
      <c r="H13" s="48" t="s">
        <v>531</v>
      </c>
      <c r="I13" s="17" t="s">
        <v>60</v>
      </c>
      <c r="J13" s="50" t="s">
        <v>3</v>
      </c>
      <c r="K13" s="17" t="s">
        <v>226</v>
      </c>
      <c r="L13" s="50" t="s">
        <v>3</v>
      </c>
      <c r="M13" s="40" t="s">
        <v>15</v>
      </c>
    </row>
    <row r="14" ht="115.5" customHeight="1">
      <c r="A14" s="40">
        <v>3.0</v>
      </c>
      <c r="B14" s="44" t="str">
        <f t="shared" si="1"/>
        <v>CPM - 3</v>
      </c>
      <c r="C14" s="44" t="str">
        <f t="shared" si="2"/>
        <v>Coupon Management</v>
      </c>
      <c r="D14" s="48" t="s">
        <v>532</v>
      </c>
      <c r="E14" s="48" t="s">
        <v>533</v>
      </c>
      <c r="F14" s="48" t="s">
        <v>534</v>
      </c>
      <c r="G14" s="48" t="s">
        <v>535</v>
      </c>
      <c r="H14" s="71" t="s">
        <v>536</v>
      </c>
      <c r="I14" s="17" t="s">
        <v>60</v>
      </c>
      <c r="J14" s="50" t="s">
        <v>3</v>
      </c>
      <c r="K14" s="17" t="s">
        <v>226</v>
      </c>
      <c r="L14" s="50" t="s">
        <v>3</v>
      </c>
      <c r="M14" s="40" t="s">
        <v>15</v>
      </c>
    </row>
    <row r="15" ht="115.5" customHeight="1">
      <c r="A15" s="40">
        <v>4.0</v>
      </c>
      <c r="B15" s="44" t="str">
        <f t="shared" si="1"/>
        <v>CPM - 4</v>
      </c>
      <c r="C15" s="44" t="str">
        <f t="shared" si="2"/>
        <v>Coupon Management</v>
      </c>
      <c r="D15" s="71" t="s">
        <v>537</v>
      </c>
      <c r="E15" s="48" t="s">
        <v>315</v>
      </c>
      <c r="F15" s="48" t="s">
        <v>538</v>
      </c>
      <c r="G15" s="48" t="s">
        <v>452</v>
      </c>
      <c r="H15" s="48" t="s">
        <v>330</v>
      </c>
      <c r="I15" s="17" t="s">
        <v>60</v>
      </c>
      <c r="J15" s="50" t="s">
        <v>3</v>
      </c>
      <c r="K15" s="17" t="s">
        <v>226</v>
      </c>
      <c r="L15" s="50" t="s">
        <v>3</v>
      </c>
      <c r="M15" s="40" t="s">
        <v>15</v>
      </c>
    </row>
    <row r="16" ht="115.5" customHeight="1">
      <c r="A16" s="40">
        <v>5.0</v>
      </c>
      <c r="B16" s="44" t="str">
        <f t="shared" si="1"/>
        <v>CPM - 5</v>
      </c>
      <c r="C16" s="44" t="str">
        <f t="shared" si="2"/>
        <v>Coupon Management</v>
      </c>
      <c r="D16" s="71" t="s">
        <v>539</v>
      </c>
      <c r="E16" s="48" t="s">
        <v>315</v>
      </c>
      <c r="F16" s="48" t="s">
        <v>540</v>
      </c>
      <c r="G16" s="48" t="s">
        <v>541</v>
      </c>
      <c r="H16" s="48" t="s">
        <v>330</v>
      </c>
      <c r="I16" s="17" t="s">
        <v>60</v>
      </c>
      <c r="J16" s="50" t="s">
        <v>3</v>
      </c>
      <c r="K16" s="17" t="s">
        <v>226</v>
      </c>
      <c r="L16" s="50" t="s">
        <v>3</v>
      </c>
      <c r="M16" s="40" t="s">
        <v>15</v>
      </c>
    </row>
    <row r="17" ht="115.5" customHeight="1">
      <c r="A17" s="40">
        <v>6.0</v>
      </c>
      <c r="B17" s="44" t="str">
        <f t="shared" si="1"/>
        <v>CPM - 6</v>
      </c>
      <c r="C17" s="44" t="str">
        <f t="shared" si="2"/>
        <v>Coupon Management</v>
      </c>
      <c r="D17" s="48" t="s">
        <v>542</v>
      </c>
      <c r="E17" s="48" t="s">
        <v>315</v>
      </c>
      <c r="F17" s="48" t="s">
        <v>543</v>
      </c>
      <c r="G17" s="48" t="s">
        <v>544</v>
      </c>
      <c r="H17" s="48" t="s">
        <v>531</v>
      </c>
      <c r="I17" s="17" t="s">
        <v>60</v>
      </c>
      <c r="J17" s="50" t="s">
        <v>3</v>
      </c>
      <c r="K17" s="17" t="s">
        <v>226</v>
      </c>
      <c r="L17" s="50" t="s">
        <v>3</v>
      </c>
      <c r="M17" s="40" t="s">
        <v>15</v>
      </c>
    </row>
    <row r="18" ht="115.5" customHeight="1">
      <c r="A18" s="40">
        <v>7.0</v>
      </c>
      <c r="B18" s="44" t="str">
        <f t="shared" si="1"/>
        <v>CPM - 7</v>
      </c>
      <c r="C18" s="44" t="str">
        <f t="shared" si="2"/>
        <v>Coupon Management</v>
      </c>
      <c r="D18" s="48" t="s">
        <v>545</v>
      </c>
      <c r="E18" s="48" t="s">
        <v>546</v>
      </c>
      <c r="F18" s="48" t="s">
        <v>547</v>
      </c>
      <c r="G18" s="48" t="s">
        <v>548</v>
      </c>
      <c r="H18" s="48" t="s">
        <v>549</v>
      </c>
      <c r="I18" s="17" t="s">
        <v>60</v>
      </c>
      <c r="J18" s="50" t="s">
        <v>3</v>
      </c>
      <c r="K18" s="17" t="s">
        <v>226</v>
      </c>
      <c r="L18" s="50" t="s">
        <v>3</v>
      </c>
      <c r="M18" s="40" t="s">
        <v>15</v>
      </c>
    </row>
    <row r="19" ht="115.5" customHeight="1">
      <c r="A19" s="40">
        <v>8.0</v>
      </c>
      <c r="B19" s="44" t="str">
        <f t="shared" si="1"/>
        <v>CPM - 8</v>
      </c>
      <c r="C19" s="44" t="str">
        <f t="shared" si="2"/>
        <v>Coupon Management</v>
      </c>
      <c r="D19" s="48" t="s">
        <v>550</v>
      </c>
      <c r="E19" s="48" t="s">
        <v>551</v>
      </c>
      <c r="F19" s="48" t="s">
        <v>552</v>
      </c>
      <c r="G19" s="48" t="s">
        <v>553</v>
      </c>
      <c r="H19" s="48" t="s">
        <v>554</v>
      </c>
      <c r="I19" s="17" t="s">
        <v>60</v>
      </c>
      <c r="J19" s="50" t="s">
        <v>3</v>
      </c>
      <c r="K19" s="17" t="s">
        <v>226</v>
      </c>
      <c r="L19" s="50" t="s">
        <v>3</v>
      </c>
      <c r="M19" s="40" t="s">
        <v>15</v>
      </c>
    </row>
    <row r="20" ht="115.5" customHeight="1">
      <c r="A20" s="40">
        <v>9.0</v>
      </c>
      <c r="B20" s="44" t="str">
        <f t="shared" si="1"/>
        <v>CPM - 9</v>
      </c>
      <c r="C20" s="44" t="str">
        <f t="shared" si="2"/>
        <v>Coupon Management</v>
      </c>
      <c r="D20" s="48" t="s">
        <v>555</v>
      </c>
      <c r="E20" s="48" t="s">
        <v>546</v>
      </c>
      <c r="F20" s="48" t="s">
        <v>555</v>
      </c>
      <c r="G20" s="48" t="s">
        <v>556</v>
      </c>
      <c r="H20" s="48" t="s">
        <v>557</v>
      </c>
      <c r="I20" s="17" t="s">
        <v>60</v>
      </c>
      <c r="J20" s="50" t="s">
        <v>3</v>
      </c>
      <c r="K20" s="17" t="s">
        <v>226</v>
      </c>
      <c r="L20" s="50" t="s">
        <v>3</v>
      </c>
      <c r="M20" s="40" t="s">
        <v>15</v>
      </c>
    </row>
    <row r="21" ht="115.5" customHeight="1">
      <c r="A21" s="40">
        <v>10.0</v>
      </c>
      <c r="B21" s="44" t="str">
        <f t="shared" si="1"/>
        <v>CPM - 10</v>
      </c>
      <c r="C21" s="44" t="str">
        <f t="shared" si="2"/>
        <v>Coupon Management</v>
      </c>
      <c r="D21" s="48" t="s">
        <v>558</v>
      </c>
      <c r="E21" s="48" t="s">
        <v>559</v>
      </c>
      <c r="F21" s="48" t="s">
        <v>560</v>
      </c>
      <c r="G21" s="48" t="s">
        <v>561</v>
      </c>
      <c r="H21" s="48" t="s">
        <v>562</v>
      </c>
      <c r="I21" s="17" t="s">
        <v>60</v>
      </c>
      <c r="J21" s="50" t="s">
        <v>3</v>
      </c>
      <c r="K21" s="17" t="s">
        <v>226</v>
      </c>
      <c r="L21" s="50" t="s">
        <v>3</v>
      </c>
      <c r="M21" s="40" t="s">
        <v>15</v>
      </c>
    </row>
    <row r="22" ht="115.5" customHeight="1">
      <c r="A22" s="40">
        <v>11.0</v>
      </c>
      <c r="B22" s="44" t="str">
        <f t="shared" si="1"/>
        <v>CPM - 11</v>
      </c>
      <c r="C22" s="44" t="str">
        <f t="shared" si="2"/>
        <v>Coupon Management</v>
      </c>
      <c r="D22" s="44" t="s">
        <v>563</v>
      </c>
      <c r="E22" s="71" t="s">
        <v>564</v>
      </c>
      <c r="F22" s="48" t="s">
        <v>565</v>
      </c>
      <c r="G22" s="71" t="s">
        <v>566</v>
      </c>
      <c r="H22" s="44" t="s">
        <v>567</v>
      </c>
      <c r="I22" s="17" t="s">
        <v>60</v>
      </c>
      <c r="J22" s="50" t="s">
        <v>3</v>
      </c>
      <c r="K22" s="17" t="s">
        <v>226</v>
      </c>
      <c r="L22" s="50" t="s">
        <v>3</v>
      </c>
      <c r="M22" s="40" t="s">
        <v>15</v>
      </c>
    </row>
    <row r="23" ht="115.5" customHeight="1">
      <c r="A23" s="40">
        <v>12.0</v>
      </c>
      <c r="B23" s="44" t="str">
        <f t="shared" si="1"/>
        <v>CPM - 12</v>
      </c>
      <c r="C23" s="44" t="str">
        <f t="shared" si="2"/>
        <v>Coupon Management</v>
      </c>
      <c r="D23" s="44" t="s">
        <v>568</v>
      </c>
      <c r="E23" s="71" t="s">
        <v>569</v>
      </c>
      <c r="F23" s="71" t="s">
        <v>570</v>
      </c>
      <c r="G23" s="71" t="s">
        <v>571</v>
      </c>
      <c r="H23" s="44" t="s">
        <v>572</v>
      </c>
      <c r="I23" s="17" t="s">
        <v>60</v>
      </c>
      <c r="J23" s="50" t="s">
        <v>3</v>
      </c>
      <c r="K23" s="17" t="s">
        <v>226</v>
      </c>
      <c r="L23" s="50" t="s">
        <v>3</v>
      </c>
      <c r="M23" s="40" t="s">
        <v>15</v>
      </c>
    </row>
    <row r="24" ht="115.5" customHeight="1">
      <c r="A24" s="40">
        <v>13.0</v>
      </c>
      <c r="B24" s="44" t="str">
        <f t="shared" si="1"/>
        <v>CPM - 13</v>
      </c>
      <c r="C24" s="44" t="str">
        <f t="shared" si="2"/>
        <v>Coupon Management</v>
      </c>
      <c r="D24" s="44" t="s">
        <v>573</v>
      </c>
      <c r="E24" s="71" t="s">
        <v>574</v>
      </c>
      <c r="F24" s="71" t="s">
        <v>575</v>
      </c>
      <c r="G24" s="71" t="s">
        <v>576</v>
      </c>
      <c r="H24" s="44" t="s">
        <v>577</v>
      </c>
      <c r="I24" s="17" t="s">
        <v>60</v>
      </c>
      <c r="J24" s="50" t="s">
        <v>3</v>
      </c>
      <c r="K24" s="17" t="s">
        <v>226</v>
      </c>
      <c r="L24" s="50" t="s">
        <v>3</v>
      </c>
      <c r="M24" s="40" t="s">
        <v>15</v>
      </c>
    </row>
    <row r="25" ht="115.5" customHeight="1">
      <c r="A25" s="40">
        <v>14.0</v>
      </c>
      <c r="B25" s="44" t="str">
        <f t="shared" si="1"/>
        <v>CPM - 14</v>
      </c>
      <c r="C25" s="44" t="str">
        <f t="shared" si="2"/>
        <v>Coupon Management</v>
      </c>
      <c r="D25" s="44" t="s">
        <v>578</v>
      </c>
      <c r="E25" s="71" t="s">
        <v>579</v>
      </c>
      <c r="F25" s="71" t="s">
        <v>580</v>
      </c>
      <c r="G25" s="71" t="s">
        <v>135</v>
      </c>
      <c r="H25" s="44" t="s">
        <v>581</v>
      </c>
      <c r="I25" s="17" t="s">
        <v>60</v>
      </c>
      <c r="J25" s="50" t="s">
        <v>3</v>
      </c>
      <c r="K25" s="17" t="s">
        <v>226</v>
      </c>
      <c r="L25" s="50" t="s">
        <v>3</v>
      </c>
      <c r="M25" s="40" t="s">
        <v>15</v>
      </c>
    </row>
    <row r="26" ht="115.5" customHeight="1">
      <c r="A26" s="40">
        <v>15.0</v>
      </c>
      <c r="B26" s="44" t="str">
        <f t="shared" si="1"/>
        <v>CPM - 15</v>
      </c>
      <c r="C26" s="44" t="str">
        <f t="shared" si="2"/>
        <v>Coupon Management</v>
      </c>
      <c r="D26" s="44" t="s">
        <v>582</v>
      </c>
      <c r="E26" s="71" t="s">
        <v>583</v>
      </c>
      <c r="F26" s="48" t="s">
        <v>584</v>
      </c>
      <c r="G26" s="48" t="s">
        <v>585</v>
      </c>
      <c r="H26" s="44" t="s">
        <v>586</v>
      </c>
      <c r="I26" s="17" t="s">
        <v>60</v>
      </c>
      <c r="J26" s="50" t="s">
        <v>3</v>
      </c>
      <c r="K26" s="17" t="s">
        <v>226</v>
      </c>
      <c r="L26" s="50" t="s">
        <v>3</v>
      </c>
      <c r="M26" s="40" t="s">
        <v>15</v>
      </c>
    </row>
    <row r="27" ht="115.5" customHeight="1">
      <c r="A27" s="40">
        <v>16.0</v>
      </c>
      <c r="B27" s="44" t="str">
        <f t="shared" si="1"/>
        <v>CPM - 16</v>
      </c>
      <c r="C27" s="44" t="str">
        <f t="shared" si="2"/>
        <v>Coupon Management</v>
      </c>
      <c r="D27" s="44" t="s">
        <v>587</v>
      </c>
      <c r="E27" s="71" t="s">
        <v>588</v>
      </c>
      <c r="F27" s="71" t="s">
        <v>589</v>
      </c>
      <c r="G27" s="71" t="s">
        <v>590</v>
      </c>
      <c r="H27" s="44" t="s">
        <v>591</v>
      </c>
      <c r="I27" s="17" t="s">
        <v>60</v>
      </c>
      <c r="J27" s="50" t="s">
        <v>3</v>
      </c>
      <c r="K27" s="17" t="s">
        <v>226</v>
      </c>
      <c r="L27" s="50" t="s">
        <v>3</v>
      </c>
      <c r="M27" s="40" t="s">
        <v>15</v>
      </c>
    </row>
    <row r="28" ht="115.5" customHeight="1">
      <c r="A28" s="40">
        <v>17.0</v>
      </c>
      <c r="B28" s="44" t="str">
        <f t="shared" si="1"/>
        <v>CPM - 17</v>
      </c>
      <c r="C28" s="44" t="str">
        <f t="shared" si="2"/>
        <v>Coupon Management</v>
      </c>
      <c r="D28" s="44" t="s">
        <v>592</v>
      </c>
      <c r="E28" s="71" t="s">
        <v>593</v>
      </c>
      <c r="F28" s="71" t="s">
        <v>594</v>
      </c>
      <c r="G28" s="71" t="s">
        <v>595</v>
      </c>
      <c r="H28" s="44" t="s">
        <v>596</v>
      </c>
      <c r="I28" s="17" t="s">
        <v>60</v>
      </c>
      <c r="J28" s="50" t="s">
        <v>3</v>
      </c>
      <c r="K28" s="17" t="s">
        <v>226</v>
      </c>
      <c r="L28" s="50" t="s">
        <v>3</v>
      </c>
      <c r="M28" s="40" t="s">
        <v>15</v>
      </c>
    </row>
    <row r="29" ht="115.5" customHeight="1">
      <c r="A29" s="40">
        <v>18.0</v>
      </c>
      <c r="B29" s="44" t="str">
        <f t="shared" si="1"/>
        <v>CPM - 18</v>
      </c>
      <c r="C29" s="44" t="str">
        <f t="shared" si="2"/>
        <v>Coupon Management</v>
      </c>
      <c r="D29" s="44" t="s">
        <v>597</v>
      </c>
      <c r="E29" s="71" t="s">
        <v>598</v>
      </c>
      <c r="F29" s="71" t="s">
        <v>599</v>
      </c>
      <c r="G29" s="71" t="s">
        <v>600</v>
      </c>
      <c r="H29" s="44" t="s">
        <v>601</v>
      </c>
      <c r="I29" s="17" t="s">
        <v>60</v>
      </c>
      <c r="J29" s="50" t="s">
        <v>3</v>
      </c>
      <c r="K29" s="17" t="s">
        <v>226</v>
      </c>
      <c r="L29" s="50" t="s">
        <v>3</v>
      </c>
      <c r="M29" s="40" t="s">
        <v>15</v>
      </c>
    </row>
    <row r="30" ht="115.5" customHeight="1">
      <c r="A30" s="40">
        <v>19.0</v>
      </c>
      <c r="B30" s="44" t="str">
        <f t="shared" si="1"/>
        <v>CPM - 19</v>
      </c>
      <c r="C30" s="44" t="str">
        <f t="shared" si="2"/>
        <v>Coupon Management</v>
      </c>
      <c r="D30" s="44" t="s">
        <v>602</v>
      </c>
      <c r="E30" s="71" t="s">
        <v>603</v>
      </c>
      <c r="F30" s="71" t="s">
        <v>604</v>
      </c>
      <c r="G30" s="71" t="s">
        <v>605</v>
      </c>
      <c r="H30" s="44" t="s">
        <v>606</v>
      </c>
      <c r="I30" s="17" t="s">
        <v>60</v>
      </c>
      <c r="J30" s="50" t="s">
        <v>3</v>
      </c>
      <c r="K30" s="17" t="s">
        <v>226</v>
      </c>
      <c r="L30" s="50" t="s">
        <v>3</v>
      </c>
      <c r="M30" s="40" t="s">
        <v>15</v>
      </c>
    </row>
    <row r="31" ht="115.5" customHeight="1">
      <c r="A31" s="40">
        <v>20.0</v>
      </c>
      <c r="B31" s="44" t="str">
        <f t="shared" si="1"/>
        <v>CPM - 20</v>
      </c>
      <c r="C31" s="44" t="str">
        <f t="shared" si="2"/>
        <v>Coupon Management</v>
      </c>
      <c r="D31" s="44" t="s">
        <v>607</v>
      </c>
      <c r="E31" s="71" t="s">
        <v>608</v>
      </c>
      <c r="F31" s="71" t="s">
        <v>609</v>
      </c>
      <c r="G31" s="71" t="s">
        <v>610</v>
      </c>
      <c r="H31" s="44" t="s">
        <v>611</v>
      </c>
      <c r="I31" s="17" t="s">
        <v>60</v>
      </c>
      <c r="J31" s="50" t="s">
        <v>3</v>
      </c>
      <c r="K31" s="17" t="s">
        <v>226</v>
      </c>
      <c r="L31" s="50" t="s">
        <v>3</v>
      </c>
      <c r="M31" s="40" t="s">
        <v>15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1 L12:L21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33.13"/>
    <col customWidth="1" min="5" max="5" width="27.13"/>
    <col customWidth="1" min="6" max="6" width="36.25"/>
    <col customWidth="1" min="7" max="7" width="23.13"/>
    <col customWidth="1" min="8" max="8" width="24.5"/>
    <col customWidth="1" min="9" max="9" width="18.63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52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612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9</v>
      </c>
      <c r="D6" s="41">
        <f>COUNTIF($J$12:$J$180, "PASS")</f>
        <v>9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9</v>
      </c>
      <c r="D8" s="41">
        <f>COUNTIF($L$12:$L$209, "PASS")</f>
        <v>9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ht="56.25" customHeight="1">
      <c r="A12" s="40">
        <v>1.0</v>
      </c>
      <c r="B12" s="44" t="str">
        <f t="shared" ref="B12:B20" si="1">CONCATENATE($C$2, " - ", A12)</f>
        <v>SC - 1</v>
      </c>
      <c r="C12" s="51" t="str">
        <f t="shared" ref="C12:C17" si="2">$C$1</f>
        <v>Shopping Cart</v>
      </c>
      <c r="D12" s="48" t="s">
        <v>613</v>
      </c>
      <c r="E12" s="71" t="s">
        <v>614</v>
      </c>
      <c r="F12" s="48" t="s">
        <v>401</v>
      </c>
      <c r="G12" s="48" t="s">
        <v>385</v>
      </c>
      <c r="H12" s="48" t="s">
        <v>615</v>
      </c>
      <c r="I12" s="17" t="s">
        <v>616</v>
      </c>
      <c r="J12" s="50" t="s">
        <v>3</v>
      </c>
      <c r="K12" s="17" t="s">
        <v>381</v>
      </c>
      <c r="L12" s="50" t="s">
        <v>3</v>
      </c>
      <c r="M12" s="40" t="s">
        <v>15</v>
      </c>
    </row>
    <row r="13" ht="56.25" customHeight="1">
      <c r="A13" s="40">
        <v>2.0</v>
      </c>
      <c r="B13" s="44" t="str">
        <f t="shared" si="1"/>
        <v>SC - 2</v>
      </c>
      <c r="C13" s="51" t="str">
        <f t="shared" si="2"/>
        <v>Shopping Cart</v>
      </c>
      <c r="D13" s="48" t="s">
        <v>617</v>
      </c>
      <c r="E13" s="71" t="s">
        <v>614</v>
      </c>
      <c r="F13" s="48" t="s">
        <v>618</v>
      </c>
      <c r="G13" s="48" t="s">
        <v>385</v>
      </c>
      <c r="H13" s="71" t="s">
        <v>619</v>
      </c>
      <c r="I13" s="17" t="s">
        <v>616</v>
      </c>
      <c r="J13" s="50" t="s">
        <v>3</v>
      </c>
      <c r="K13" s="17" t="s">
        <v>381</v>
      </c>
      <c r="L13" s="50" t="s">
        <v>3</v>
      </c>
      <c r="M13" s="40" t="s">
        <v>15</v>
      </c>
    </row>
    <row r="14" ht="56.25" customHeight="1">
      <c r="A14" s="40">
        <v>3.0</v>
      </c>
      <c r="B14" s="44" t="str">
        <f t="shared" si="1"/>
        <v>SC - 3</v>
      </c>
      <c r="C14" s="51" t="str">
        <f t="shared" si="2"/>
        <v>Shopping Cart</v>
      </c>
      <c r="D14" s="48" t="s">
        <v>620</v>
      </c>
      <c r="E14" s="48" t="s">
        <v>621</v>
      </c>
      <c r="F14" s="48" t="s">
        <v>622</v>
      </c>
      <c r="G14" s="48" t="s">
        <v>411</v>
      </c>
      <c r="H14" s="48" t="s">
        <v>623</v>
      </c>
      <c r="I14" s="17" t="s">
        <v>616</v>
      </c>
      <c r="J14" s="50" t="s">
        <v>3</v>
      </c>
      <c r="K14" s="17" t="s">
        <v>381</v>
      </c>
      <c r="L14" s="50" t="s">
        <v>3</v>
      </c>
      <c r="M14" s="40" t="s">
        <v>15</v>
      </c>
    </row>
    <row r="15" ht="56.25" customHeight="1">
      <c r="A15" s="40">
        <v>4.0</v>
      </c>
      <c r="B15" s="44" t="str">
        <f t="shared" si="1"/>
        <v>SC - 4</v>
      </c>
      <c r="C15" s="51" t="str">
        <f t="shared" si="2"/>
        <v>Shopping Cart</v>
      </c>
      <c r="D15" s="48" t="s">
        <v>624</v>
      </c>
      <c r="E15" s="48" t="s">
        <v>621</v>
      </c>
      <c r="F15" s="48" t="s">
        <v>625</v>
      </c>
      <c r="G15" s="48" t="s">
        <v>402</v>
      </c>
      <c r="H15" s="71" t="s">
        <v>623</v>
      </c>
      <c r="I15" s="17" t="s">
        <v>616</v>
      </c>
      <c r="J15" s="50" t="s">
        <v>3</v>
      </c>
      <c r="K15" s="17" t="s">
        <v>381</v>
      </c>
      <c r="L15" s="50" t="s">
        <v>3</v>
      </c>
      <c r="M15" s="40" t="s">
        <v>15</v>
      </c>
    </row>
    <row r="16" ht="56.25" customHeight="1">
      <c r="A16" s="40">
        <v>5.0</v>
      </c>
      <c r="B16" s="44" t="str">
        <f t="shared" si="1"/>
        <v>SC - 5</v>
      </c>
      <c r="C16" s="51" t="str">
        <f t="shared" si="2"/>
        <v>Shopping Cart</v>
      </c>
      <c r="D16" s="48" t="s">
        <v>413</v>
      </c>
      <c r="E16" s="48" t="s">
        <v>409</v>
      </c>
      <c r="F16" s="48" t="s">
        <v>414</v>
      </c>
      <c r="G16" s="48" t="s">
        <v>385</v>
      </c>
      <c r="H16" s="48" t="s">
        <v>415</v>
      </c>
      <c r="I16" s="17" t="s">
        <v>616</v>
      </c>
      <c r="J16" s="50" t="s">
        <v>3</v>
      </c>
      <c r="K16" s="17" t="s">
        <v>381</v>
      </c>
      <c r="L16" s="50" t="s">
        <v>3</v>
      </c>
      <c r="M16" s="40" t="s">
        <v>15</v>
      </c>
    </row>
    <row r="17" ht="56.25" customHeight="1">
      <c r="A17" s="64">
        <v>6.0</v>
      </c>
      <c r="B17" s="65" t="str">
        <f t="shared" si="1"/>
        <v>SC - 6</v>
      </c>
      <c r="C17" s="66" t="str">
        <f t="shared" si="2"/>
        <v>Shopping Cart</v>
      </c>
      <c r="D17" s="48" t="s">
        <v>416</v>
      </c>
      <c r="E17" s="48" t="s">
        <v>417</v>
      </c>
      <c r="F17" s="48" t="s">
        <v>418</v>
      </c>
      <c r="G17" s="48" t="s">
        <v>406</v>
      </c>
      <c r="H17" s="48" t="s">
        <v>626</v>
      </c>
      <c r="I17" s="17" t="s">
        <v>616</v>
      </c>
      <c r="J17" s="50" t="s">
        <v>3</v>
      </c>
      <c r="K17" s="17" t="s">
        <v>381</v>
      </c>
      <c r="L17" s="50" t="s">
        <v>3</v>
      </c>
      <c r="M17" s="40" t="s">
        <v>15</v>
      </c>
    </row>
    <row r="18" ht="56.25" customHeight="1">
      <c r="A18" s="40">
        <v>7.0</v>
      </c>
      <c r="B18" s="44" t="str">
        <f t="shared" si="1"/>
        <v>SC - 7</v>
      </c>
      <c r="C18" s="83"/>
      <c r="D18" s="48" t="s">
        <v>627</v>
      </c>
      <c r="E18" s="48" t="s">
        <v>628</v>
      </c>
      <c r="F18" s="48" t="s">
        <v>629</v>
      </c>
      <c r="G18" s="48" t="s">
        <v>630</v>
      </c>
      <c r="H18" s="48" t="s">
        <v>631</v>
      </c>
      <c r="I18" s="17" t="s">
        <v>616</v>
      </c>
      <c r="J18" s="50" t="s">
        <v>3</v>
      </c>
      <c r="K18" s="17" t="s">
        <v>381</v>
      </c>
      <c r="L18" s="50" t="s">
        <v>3</v>
      </c>
      <c r="M18" s="40" t="s">
        <v>15</v>
      </c>
    </row>
    <row r="19" ht="56.25" customHeight="1">
      <c r="A19" s="40">
        <v>8.0</v>
      </c>
      <c r="B19" s="44" t="str">
        <f t="shared" si="1"/>
        <v>SC - 8</v>
      </c>
      <c r="C19" s="83"/>
      <c r="D19" s="48" t="s">
        <v>632</v>
      </c>
      <c r="E19" s="48" t="s">
        <v>409</v>
      </c>
      <c r="F19" s="48" t="s">
        <v>201</v>
      </c>
      <c r="G19" s="48" t="s">
        <v>406</v>
      </c>
      <c r="H19" s="48" t="s">
        <v>633</v>
      </c>
      <c r="I19" s="17" t="s">
        <v>616</v>
      </c>
      <c r="J19" s="50" t="s">
        <v>3</v>
      </c>
      <c r="K19" s="17" t="s">
        <v>381</v>
      </c>
      <c r="L19" s="50" t="s">
        <v>3</v>
      </c>
      <c r="M19" s="40" t="s">
        <v>15</v>
      </c>
    </row>
    <row r="20" ht="56.25" customHeight="1">
      <c r="A20" s="40">
        <v>9.0</v>
      </c>
      <c r="B20" s="44" t="str">
        <f t="shared" si="1"/>
        <v>SC - 9</v>
      </c>
      <c r="C20" s="83"/>
      <c r="D20" s="48" t="s">
        <v>634</v>
      </c>
      <c r="E20" s="48" t="s">
        <v>635</v>
      </c>
      <c r="F20" s="48" t="s">
        <v>636</v>
      </c>
      <c r="G20" s="48" t="s">
        <v>406</v>
      </c>
      <c r="H20" s="71" t="s">
        <v>637</v>
      </c>
      <c r="I20" s="17" t="s">
        <v>616</v>
      </c>
      <c r="J20" s="50" t="s">
        <v>3</v>
      </c>
      <c r="K20" s="17" t="s">
        <v>381</v>
      </c>
      <c r="L20" s="50" t="s">
        <v>3</v>
      </c>
      <c r="M20" s="40" t="s">
        <v>15</v>
      </c>
    </row>
    <row r="21" ht="15.0" customHeight="1">
      <c r="H21" s="8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0 L12:L20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32.38"/>
    <col customWidth="1" min="5" max="5" width="19.0"/>
    <col customWidth="1" min="6" max="6" width="28.0"/>
    <col customWidth="1" min="7" max="7" width="23.13"/>
    <col customWidth="1" min="8" max="8" width="28.75"/>
    <col customWidth="1" min="9" max="9" width="18.63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59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638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12</v>
      </c>
      <c r="D6" s="41">
        <f>COUNTIF($J$12:$J$180, "PASS")</f>
        <v>12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12</v>
      </c>
      <c r="D8" s="41">
        <f>COUNTIF($L$12:$L$209, "PASS")</f>
        <v>12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62"/>
      <c r="F11" s="62"/>
      <c r="G11" s="62"/>
      <c r="H11" s="62"/>
      <c r="I11" s="13"/>
      <c r="J11" s="13"/>
      <c r="K11" s="13"/>
      <c r="L11" s="13"/>
      <c r="M11" s="13"/>
    </row>
    <row r="12" ht="43.5" customHeight="1">
      <c r="A12" s="40">
        <v>1.0</v>
      </c>
      <c r="B12" s="44" t="str">
        <f t="shared" ref="B12:B23" si="1">CONCATENATE($C$2, " - ", A12)</f>
        <v>EDF - 1</v>
      </c>
      <c r="C12" s="51" t="str">
        <f t="shared" ref="C12:C23" si="2">$C$1</f>
        <v>Edit Profile(Farmer)</v>
      </c>
      <c r="D12" s="48" t="s">
        <v>639</v>
      </c>
      <c r="E12" s="48" t="s">
        <v>640</v>
      </c>
      <c r="F12" s="48" t="s">
        <v>641</v>
      </c>
      <c r="G12" s="48" t="s">
        <v>406</v>
      </c>
      <c r="H12" s="71" t="s">
        <v>642</v>
      </c>
      <c r="I12" s="17" t="s">
        <v>616</v>
      </c>
      <c r="J12" s="50" t="s">
        <v>3</v>
      </c>
      <c r="K12" s="17" t="s">
        <v>381</v>
      </c>
      <c r="L12" s="50" t="s">
        <v>3</v>
      </c>
      <c r="M12" s="40" t="s">
        <v>15</v>
      </c>
    </row>
    <row r="13" ht="37.5" customHeight="1">
      <c r="A13" s="40">
        <v>2.0</v>
      </c>
      <c r="B13" s="44" t="str">
        <f t="shared" si="1"/>
        <v>EDF - 2</v>
      </c>
      <c r="C13" s="51" t="str">
        <f t="shared" si="2"/>
        <v>Edit Profile(Farmer)</v>
      </c>
      <c r="D13" s="48" t="s">
        <v>643</v>
      </c>
      <c r="E13" s="48" t="s">
        <v>640</v>
      </c>
      <c r="F13" s="48" t="s">
        <v>644</v>
      </c>
      <c r="G13" s="48" t="s">
        <v>645</v>
      </c>
      <c r="H13" s="48" t="s">
        <v>646</v>
      </c>
      <c r="I13" s="17" t="s">
        <v>616</v>
      </c>
      <c r="J13" s="50" t="s">
        <v>3</v>
      </c>
      <c r="K13" s="17" t="s">
        <v>381</v>
      </c>
      <c r="L13" s="50" t="s">
        <v>3</v>
      </c>
      <c r="M13" s="40" t="s">
        <v>15</v>
      </c>
    </row>
    <row r="14" ht="66.0" customHeight="1">
      <c r="A14" s="40">
        <v>3.0</v>
      </c>
      <c r="B14" s="44" t="str">
        <f t="shared" si="1"/>
        <v>EDF - 3</v>
      </c>
      <c r="C14" s="51" t="str">
        <f t="shared" si="2"/>
        <v>Edit Profile(Farmer)</v>
      </c>
      <c r="D14" s="48" t="s">
        <v>647</v>
      </c>
      <c r="E14" s="48" t="s">
        <v>640</v>
      </c>
      <c r="F14" s="48" t="s">
        <v>648</v>
      </c>
      <c r="G14" s="48" t="s">
        <v>649</v>
      </c>
      <c r="H14" s="48" t="s">
        <v>427</v>
      </c>
      <c r="I14" s="17" t="s">
        <v>616</v>
      </c>
      <c r="J14" s="50" t="s">
        <v>3</v>
      </c>
      <c r="K14" s="17" t="s">
        <v>381</v>
      </c>
      <c r="L14" s="50" t="s">
        <v>3</v>
      </c>
      <c r="M14" s="40" t="s">
        <v>15</v>
      </c>
    </row>
    <row r="15" ht="62.25" customHeight="1">
      <c r="A15" s="40">
        <v>4.0</v>
      </c>
      <c r="B15" s="44" t="str">
        <f t="shared" si="1"/>
        <v>EDF - 4</v>
      </c>
      <c r="C15" s="51" t="str">
        <f t="shared" si="2"/>
        <v>Edit Profile(Farmer)</v>
      </c>
      <c r="D15" s="71" t="s">
        <v>650</v>
      </c>
      <c r="E15" s="48" t="s">
        <v>640</v>
      </c>
      <c r="F15" s="48" t="s">
        <v>651</v>
      </c>
      <c r="G15" s="48" t="s">
        <v>652</v>
      </c>
      <c r="H15" s="48" t="s">
        <v>427</v>
      </c>
      <c r="I15" s="17" t="s">
        <v>616</v>
      </c>
      <c r="J15" s="50" t="s">
        <v>3</v>
      </c>
      <c r="K15" s="17" t="s">
        <v>381</v>
      </c>
      <c r="L15" s="50" t="s">
        <v>3</v>
      </c>
      <c r="M15" s="40" t="s">
        <v>15</v>
      </c>
    </row>
    <row r="16" ht="51.0" customHeight="1">
      <c r="A16" s="64">
        <v>5.0</v>
      </c>
      <c r="B16" s="44" t="str">
        <f t="shared" si="1"/>
        <v>EDF - 5</v>
      </c>
      <c r="C16" s="51" t="str">
        <f t="shared" si="2"/>
        <v>Edit Profile(Farmer)</v>
      </c>
      <c r="D16" s="48" t="s">
        <v>653</v>
      </c>
      <c r="E16" s="48" t="s">
        <v>640</v>
      </c>
      <c r="F16" s="48" t="s">
        <v>654</v>
      </c>
      <c r="G16" s="48" t="s">
        <v>655</v>
      </c>
      <c r="H16" s="48" t="s">
        <v>427</v>
      </c>
      <c r="I16" s="17" t="s">
        <v>616</v>
      </c>
      <c r="J16" s="50" t="s">
        <v>3</v>
      </c>
      <c r="K16" s="17" t="s">
        <v>381</v>
      </c>
      <c r="L16" s="50" t="s">
        <v>3</v>
      </c>
      <c r="M16" s="40" t="s">
        <v>15</v>
      </c>
    </row>
    <row r="17" ht="39.0" customHeight="1">
      <c r="A17" s="40">
        <v>6.0</v>
      </c>
      <c r="B17" s="84" t="str">
        <f t="shared" si="1"/>
        <v>EDF - 6</v>
      </c>
      <c r="C17" s="51" t="str">
        <f t="shared" si="2"/>
        <v>Edit Profile(Farmer)</v>
      </c>
      <c r="D17" s="48" t="s">
        <v>656</v>
      </c>
      <c r="E17" s="48" t="s">
        <v>640</v>
      </c>
      <c r="F17" s="48" t="s">
        <v>657</v>
      </c>
      <c r="G17" s="48" t="s">
        <v>658</v>
      </c>
      <c r="H17" s="48" t="s">
        <v>659</v>
      </c>
      <c r="I17" s="17" t="s">
        <v>616</v>
      </c>
      <c r="J17" s="50" t="s">
        <v>3</v>
      </c>
      <c r="K17" s="17" t="s">
        <v>381</v>
      </c>
      <c r="L17" s="50" t="s">
        <v>3</v>
      </c>
      <c r="M17" s="40" t="s">
        <v>15</v>
      </c>
    </row>
    <row r="18" ht="36.0" customHeight="1">
      <c r="A18" s="40">
        <v>7.0</v>
      </c>
      <c r="B18" s="44" t="str">
        <f t="shared" si="1"/>
        <v>EDF - 7</v>
      </c>
      <c r="C18" s="51" t="str">
        <f t="shared" si="2"/>
        <v>Edit Profile(Farmer)</v>
      </c>
      <c r="D18" s="48" t="s">
        <v>660</v>
      </c>
      <c r="E18" s="48" t="s">
        <v>640</v>
      </c>
      <c r="F18" s="48" t="s">
        <v>661</v>
      </c>
      <c r="G18" s="48" t="s">
        <v>662</v>
      </c>
      <c r="H18" s="48" t="s">
        <v>663</v>
      </c>
      <c r="I18" s="17" t="s">
        <v>616</v>
      </c>
      <c r="J18" s="50" t="s">
        <v>3</v>
      </c>
      <c r="K18" s="17" t="s">
        <v>381</v>
      </c>
      <c r="L18" s="50" t="s">
        <v>3</v>
      </c>
      <c r="M18" s="40" t="s">
        <v>15</v>
      </c>
    </row>
    <row r="19" ht="40.5" customHeight="1">
      <c r="A19" s="40">
        <v>8.0</v>
      </c>
      <c r="B19" s="44" t="str">
        <f t="shared" si="1"/>
        <v>EDF - 8</v>
      </c>
      <c r="C19" s="51" t="str">
        <f t="shared" si="2"/>
        <v>Edit Profile(Farmer)</v>
      </c>
      <c r="D19" s="48" t="s">
        <v>664</v>
      </c>
      <c r="E19" s="48" t="s">
        <v>640</v>
      </c>
      <c r="F19" s="48" t="s">
        <v>665</v>
      </c>
      <c r="G19" s="48" t="s">
        <v>666</v>
      </c>
      <c r="H19" s="48" t="s">
        <v>663</v>
      </c>
      <c r="I19" s="17" t="s">
        <v>616</v>
      </c>
      <c r="J19" s="50" t="s">
        <v>3</v>
      </c>
      <c r="K19" s="17" t="s">
        <v>381</v>
      </c>
      <c r="L19" s="50" t="s">
        <v>3</v>
      </c>
      <c r="M19" s="40" t="s">
        <v>15</v>
      </c>
    </row>
    <row r="20" ht="45.0" customHeight="1">
      <c r="A20" s="40">
        <v>9.0</v>
      </c>
      <c r="B20" s="44" t="str">
        <f t="shared" si="1"/>
        <v>EDF - 9</v>
      </c>
      <c r="C20" s="51" t="str">
        <f t="shared" si="2"/>
        <v>Edit Profile(Farmer)</v>
      </c>
      <c r="D20" s="48" t="s">
        <v>667</v>
      </c>
      <c r="E20" s="48" t="s">
        <v>640</v>
      </c>
      <c r="F20" s="48" t="s">
        <v>668</v>
      </c>
      <c r="G20" s="48" t="s">
        <v>108</v>
      </c>
      <c r="H20" s="48" t="s">
        <v>669</v>
      </c>
      <c r="I20" s="17" t="s">
        <v>616</v>
      </c>
      <c r="J20" s="50" t="s">
        <v>3</v>
      </c>
      <c r="K20" s="17" t="s">
        <v>381</v>
      </c>
      <c r="L20" s="50" t="s">
        <v>3</v>
      </c>
      <c r="M20" s="40" t="s">
        <v>15</v>
      </c>
    </row>
    <row r="21" ht="43.5" customHeight="1">
      <c r="A21" s="40">
        <v>10.0</v>
      </c>
      <c r="B21" s="44" t="str">
        <f t="shared" si="1"/>
        <v>EDF - 10</v>
      </c>
      <c r="C21" s="51" t="str">
        <f t="shared" si="2"/>
        <v>Edit Profile(Farmer)</v>
      </c>
      <c r="D21" s="48" t="s">
        <v>670</v>
      </c>
      <c r="E21" s="48" t="s">
        <v>640</v>
      </c>
      <c r="F21" s="48" t="s">
        <v>671</v>
      </c>
      <c r="G21" s="48" t="s">
        <v>672</v>
      </c>
      <c r="H21" s="48" t="s">
        <v>673</v>
      </c>
      <c r="I21" s="17" t="s">
        <v>616</v>
      </c>
      <c r="J21" s="50" t="s">
        <v>3</v>
      </c>
      <c r="K21" s="17" t="s">
        <v>381</v>
      </c>
      <c r="L21" s="50" t="s">
        <v>3</v>
      </c>
      <c r="M21" s="40" t="s">
        <v>15</v>
      </c>
    </row>
    <row r="22" ht="36.75" customHeight="1">
      <c r="A22" s="40">
        <v>11.0</v>
      </c>
      <c r="B22" s="44" t="str">
        <f t="shared" si="1"/>
        <v>EDF - 11</v>
      </c>
      <c r="C22" s="51" t="str">
        <f t="shared" si="2"/>
        <v>Edit Profile(Farmer)</v>
      </c>
      <c r="D22" s="48" t="s">
        <v>674</v>
      </c>
      <c r="E22" s="48" t="s">
        <v>640</v>
      </c>
      <c r="F22" s="48" t="s">
        <v>675</v>
      </c>
      <c r="G22" s="48" t="s">
        <v>676</v>
      </c>
      <c r="H22" s="48" t="s">
        <v>677</v>
      </c>
      <c r="I22" s="17" t="s">
        <v>616</v>
      </c>
      <c r="J22" s="50" t="s">
        <v>3</v>
      </c>
      <c r="K22" s="17" t="s">
        <v>381</v>
      </c>
      <c r="L22" s="50" t="s">
        <v>3</v>
      </c>
      <c r="M22" s="40" t="s">
        <v>15</v>
      </c>
    </row>
    <row r="23" ht="35.25" customHeight="1">
      <c r="A23" s="40">
        <v>12.0</v>
      </c>
      <c r="B23" s="44" t="str">
        <f t="shared" si="1"/>
        <v>EDF - 12</v>
      </c>
      <c r="C23" s="51" t="str">
        <f t="shared" si="2"/>
        <v>Edit Profile(Farmer)</v>
      </c>
      <c r="D23" s="48" t="s">
        <v>678</v>
      </c>
      <c r="E23" s="48" t="s">
        <v>640</v>
      </c>
      <c r="F23" s="48" t="s">
        <v>679</v>
      </c>
      <c r="G23" s="48" t="s">
        <v>680</v>
      </c>
      <c r="H23" s="48" t="s">
        <v>681</v>
      </c>
      <c r="I23" s="17" t="s">
        <v>616</v>
      </c>
      <c r="J23" s="50" t="s">
        <v>3</v>
      </c>
      <c r="K23" s="17" t="s">
        <v>381</v>
      </c>
      <c r="L23" s="50" t="s">
        <v>3</v>
      </c>
      <c r="M23" s="40" t="s">
        <v>15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3 L12:L23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5.88"/>
    <col customWidth="1" min="4" max="4" width="47.13"/>
    <col customWidth="1" min="5" max="5" width="19.0"/>
    <col customWidth="1" min="6" max="6" width="35.75"/>
    <col customWidth="1" min="7" max="7" width="23.13"/>
    <col customWidth="1" min="8" max="8" width="39.63"/>
    <col customWidth="1" min="9" max="9" width="18.63"/>
    <col customWidth="1" min="11" max="11" width="19.5"/>
    <col customWidth="1" min="13" max="13" width="24.25"/>
  </cols>
  <sheetData>
    <row r="1">
      <c r="A1" s="28" t="s">
        <v>63</v>
      </c>
      <c r="B1" s="29"/>
      <c r="C1" s="30" t="s">
        <v>62</v>
      </c>
      <c r="D1" s="29"/>
      <c r="E1" s="31"/>
      <c r="F1" s="31"/>
      <c r="G1" s="31"/>
      <c r="H1" s="31"/>
      <c r="I1" s="31"/>
      <c r="J1" s="31"/>
      <c r="K1" s="31"/>
      <c r="L1" s="31"/>
      <c r="M1" s="31"/>
    </row>
    <row r="2">
      <c r="A2" s="28" t="s">
        <v>65</v>
      </c>
      <c r="B2" s="29"/>
      <c r="C2" s="32" t="s">
        <v>682</v>
      </c>
      <c r="D2" s="29"/>
      <c r="E2" s="31"/>
      <c r="F2" s="31"/>
      <c r="G2" s="31"/>
      <c r="H2" s="31"/>
      <c r="I2" s="31"/>
      <c r="J2" s="31"/>
      <c r="K2" s="31"/>
      <c r="L2" s="31"/>
      <c r="M2" s="31"/>
    </row>
    <row r="3">
      <c r="A3" s="28" t="s">
        <v>67</v>
      </c>
      <c r="B3" s="29"/>
      <c r="C3" s="33"/>
      <c r="D3" s="29"/>
      <c r="E3" s="31"/>
      <c r="F3" s="31"/>
      <c r="G3" s="31"/>
      <c r="H3" s="31"/>
      <c r="I3" s="31"/>
      <c r="J3" s="31"/>
      <c r="K3" s="31"/>
      <c r="L3" s="31"/>
      <c r="M3" s="31"/>
    </row>
    <row r="4">
      <c r="A4" s="28" t="s">
        <v>12</v>
      </c>
      <c r="B4" s="29"/>
      <c r="C4" s="30" t="s">
        <v>15</v>
      </c>
      <c r="D4" s="29"/>
      <c r="E4" s="31"/>
      <c r="F4" s="31"/>
      <c r="G4" s="31"/>
      <c r="H4" s="31"/>
      <c r="I4" s="31"/>
      <c r="J4" s="31"/>
      <c r="K4" s="31"/>
      <c r="L4" s="31"/>
      <c r="M4" s="31"/>
    </row>
    <row r="5">
      <c r="A5" s="34" t="s">
        <v>7</v>
      </c>
      <c r="B5" s="35"/>
      <c r="C5" s="36" t="s">
        <v>2</v>
      </c>
      <c r="D5" s="36" t="s">
        <v>3</v>
      </c>
      <c r="E5" s="37" t="s">
        <v>4</v>
      </c>
      <c r="F5" s="37" t="s">
        <v>68</v>
      </c>
      <c r="G5" s="37" t="s">
        <v>19</v>
      </c>
      <c r="H5" s="31"/>
      <c r="I5" s="31"/>
      <c r="J5" s="31"/>
      <c r="K5" s="31"/>
      <c r="L5" s="31"/>
      <c r="M5" s="31"/>
    </row>
    <row r="6">
      <c r="A6" s="38"/>
      <c r="B6" s="39"/>
      <c r="C6" s="40">
        <f>COUNTIF($J$12:$J$106, "&lt;&gt;")</f>
        <v>11</v>
      </c>
      <c r="D6" s="41">
        <f>COUNTIF($J$12:$J$180, "PASS")</f>
        <v>11</v>
      </c>
      <c r="E6" s="41">
        <f>COUNTIF($J$12:$J$182, "FAIL")</f>
        <v>0</v>
      </c>
      <c r="F6" s="41">
        <v>0.0</v>
      </c>
      <c r="G6" s="41">
        <v>0.0</v>
      </c>
      <c r="H6" s="31"/>
      <c r="I6" s="31"/>
      <c r="J6" s="31"/>
      <c r="K6" s="31"/>
      <c r="L6" s="31"/>
      <c r="M6" s="31"/>
    </row>
    <row r="7">
      <c r="A7" s="34" t="s">
        <v>9</v>
      </c>
      <c r="B7" s="35"/>
      <c r="C7" s="36" t="s">
        <v>2</v>
      </c>
      <c r="D7" s="36" t="s">
        <v>3</v>
      </c>
      <c r="E7" s="36" t="s">
        <v>4</v>
      </c>
      <c r="F7" s="36" t="s">
        <v>68</v>
      </c>
      <c r="G7" s="36" t="s">
        <v>19</v>
      </c>
      <c r="H7" s="31"/>
      <c r="I7" s="31"/>
      <c r="J7" s="31"/>
      <c r="K7" s="31"/>
      <c r="L7" s="31"/>
      <c r="M7" s="31"/>
    </row>
    <row r="8">
      <c r="A8" s="38"/>
      <c r="B8" s="39"/>
      <c r="C8" s="40">
        <f>COUNTIF($M$12:$M$480, "&lt;&gt;")</f>
        <v>11</v>
      </c>
      <c r="D8" s="41">
        <f>COUNTIF($L$12:$L$209, "PASS")</f>
        <v>11</v>
      </c>
      <c r="E8" s="41">
        <f>COUNTIF($L$12:$L$211, "FAIL")</f>
        <v>0</v>
      </c>
      <c r="F8" s="41">
        <v>0.0</v>
      </c>
      <c r="G8" s="41">
        <v>0.0</v>
      </c>
      <c r="H8" s="31"/>
      <c r="I8" s="31"/>
      <c r="J8" s="31"/>
      <c r="K8" s="31"/>
      <c r="L8" s="31"/>
      <c r="M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>
      <c r="A10" s="42" t="s">
        <v>69</v>
      </c>
      <c r="B10" s="42" t="s">
        <v>70</v>
      </c>
      <c r="C10" s="43" t="s">
        <v>71</v>
      </c>
      <c r="D10" s="42" t="s">
        <v>72</v>
      </c>
      <c r="E10" s="42" t="s">
        <v>73</v>
      </c>
      <c r="F10" s="42" t="s">
        <v>74</v>
      </c>
      <c r="G10" s="42" t="s">
        <v>75</v>
      </c>
      <c r="H10" s="42" t="s">
        <v>76</v>
      </c>
      <c r="I10" s="42" t="s">
        <v>77</v>
      </c>
      <c r="J10" s="42" t="s">
        <v>78</v>
      </c>
      <c r="K10" s="42" t="s">
        <v>79</v>
      </c>
      <c r="L10" s="42" t="s">
        <v>80</v>
      </c>
      <c r="M10" s="42" t="s">
        <v>81</v>
      </c>
    </row>
    <row r="11">
      <c r="A11" s="13"/>
      <c r="B11" s="13"/>
      <c r="C11" s="13"/>
      <c r="D11" s="62"/>
      <c r="E11" s="62"/>
      <c r="F11" s="62"/>
      <c r="G11" s="62"/>
      <c r="H11" s="62"/>
      <c r="I11" s="13"/>
      <c r="J11" s="13"/>
      <c r="K11" s="13"/>
      <c r="L11" s="13"/>
      <c r="M11" s="13"/>
    </row>
    <row r="12" ht="38.25" customHeight="1">
      <c r="A12" s="40">
        <v>1.0</v>
      </c>
      <c r="B12" s="44" t="str">
        <f t="shared" ref="B12:B22" si="1">CONCATENATE($C$2, " - ", A12)</f>
        <v>EDA - 1</v>
      </c>
      <c r="C12" s="51" t="str">
        <f t="shared" ref="C12:C22" si="2">$C$1</f>
        <v>Edit Profile(Admin)</v>
      </c>
      <c r="D12" s="18" t="s">
        <v>683</v>
      </c>
      <c r="E12" s="18" t="s">
        <v>315</v>
      </c>
      <c r="F12" s="18" t="s">
        <v>684</v>
      </c>
      <c r="G12" s="18" t="s">
        <v>406</v>
      </c>
      <c r="H12" s="18" t="s">
        <v>685</v>
      </c>
      <c r="I12" s="17" t="s">
        <v>616</v>
      </c>
      <c r="J12" s="50" t="s">
        <v>3</v>
      </c>
      <c r="K12" s="17" t="s">
        <v>381</v>
      </c>
      <c r="L12" s="50" t="s">
        <v>3</v>
      </c>
      <c r="M12" s="40" t="s">
        <v>15</v>
      </c>
    </row>
    <row r="13" ht="45.75" customHeight="1">
      <c r="A13" s="40">
        <v>2.0</v>
      </c>
      <c r="B13" s="44" t="str">
        <f t="shared" si="1"/>
        <v>EDA - 2</v>
      </c>
      <c r="C13" s="51" t="str">
        <f t="shared" si="2"/>
        <v>Edit Profile(Admin)</v>
      </c>
      <c r="D13" s="18" t="s">
        <v>686</v>
      </c>
      <c r="E13" s="18" t="s">
        <v>315</v>
      </c>
      <c r="F13" s="18" t="s">
        <v>644</v>
      </c>
      <c r="G13" s="18" t="s">
        <v>687</v>
      </c>
      <c r="H13" s="18" t="s">
        <v>646</v>
      </c>
      <c r="I13" s="17" t="s">
        <v>616</v>
      </c>
      <c r="J13" s="50" t="s">
        <v>3</v>
      </c>
      <c r="K13" s="17" t="s">
        <v>381</v>
      </c>
      <c r="L13" s="50" t="s">
        <v>3</v>
      </c>
      <c r="M13" s="40" t="s">
        <v>15</v>
      </c>
    </row>
    <row r="14" ht="60.0" customHeight="1">
      <c r="A14" s="40">
        <v>3.0</v>
      </c>
      <c r="B14" s="44" t="str">
        <f t="shared" si="1"/>
        <v>EDA - 3</v>
      </c>
      <c r="C14" s="51" t="str">
        <f t="shared" si="2"/>
        <v>Edit Profile(Admin)</v>
      </c>
      <c r="D14" s="18" t="s">
        <v>647</v>
      </c>
      <c r="E14" s="18" t="s">
        <v>315</v>
      </c>
      <c r="F14" s="18" t="s">
        <v>688</v>
      </c>
      <c r="G14" s="18" t="s">
        <v>649</v>
      </c>
      <c r="H14" s="18" t="s">
        <v>330</v>
      </c>
      <c r="I14" s="17" t="s">
        <v>616</v>
      </c>
      <c r="J14" s="50" t="s">
        <v>3</v>
      </c>
      <c r="K14" s="17" t="s">
        <v>381</v>
      </c>
      <c r="L14" s="50" t="s">
        <v>3</v>
      </c>
      <c r="M14" s="40" t="s">
        <v>15</v>
      </c>
    </row>
    <row r="15" ht="52.5" customHeight="1">
      <c r="A15" s="40">
        <v>4.0</v>
      </c>
      <c r="B15" s="44" t="str">
        <f t="shared" si="1"/>
        <v>EDA - 4</v>
      </c>
      <c r="C15" s="51" t="str">
        <f t="shared" si="2"/>
        <v>Edit Profile(Admin)</v>
      </c>
      <c r="D15" s="18" t="s">
        <v>650</v>
      </c>
      <c r="E15" s="18" t="s">
        <v>315</v>
      </c>
      <c r="F15" s="18" t="s">
        <v>651</v>
      </c>
      <c r="G15" s="46" t="s">
        <v>687</v>
      </c>
      <c r="H15" s="47" t="s">
        <v>330</v>
      </c>
      <c r="I15" s="17" t="s">
        <v>616</v>
      </c>
      <c r="J15" s="50" t="s">
        <v>3</v>
      </c>
      <c r="K15" s="17" t="s">
        <v>381</v>
      </c>
      <c r="L15" s="50" t="s">
        <v>3</v>
      </c>
      <c r="M15" s="40" t="s">
        <v>15</v>
      </c>
    </row>
    <row r="16" ht="51.0" customHeight="1">
      <c r="A16" s="40">
        <v>5.0</v>
      </c>
      <c r="B16" s="44" t="str">
        <f t="shared" si="1"/>
        <v>EDA - 5</v>
      </c>
      <c r="C16" s="51" t="str">
        <f t="shared" si="2"/>
        <v>Edit Profile(Admin)</v>
      </c>
      <c r="D16" s="18" t="s">
        <v>653</v>
      </c>
      <c r="E16" s="18" t="s">
        <v>315</v>
      </c>
      <c r="F16" s="18" t="s">
        <v>654</v>
      </c>
      <c r="G16" s="18" t="s">
        <v>689</v>
      </c>
      <c r="H16" s="18" t="s">
        <v>330</v>
      </c>
      <c r="I16" s="17" t="s">
        <v>616</v>
      </c>
      <c r="J16" s="50" t="s">
        <v>3</v>
      </c>
      <c r="K16" s="17" t="s">
        <v>381</v>
      </c>
      <c r="L16" s="50" t="s">
        <v>3</v>
      </c>
      <c r="M16" s="40" t="s">
        <v>15</v>
      </c>
    </row>
    <row r="17" ht="47.25" customHeight="1">
      <c r="A17" s="64">
        <v>6.0</v>
      </c>
      <c r="B17" s="65" t="str">
        <f t="shared" si="1"/>
        <v>EDA - 6</v>
      </c>
      <c r="C17" s="66" t="str">
        <f t="shared" si="2"/>
        <v>Edit Profile(Admin)</v>
      </c>
      <c r="D17" s="44" t="s">
        <v>683</v>
      </c>
      <c r="E17" s="18" t="s">
        <v>315</v>
      </c>
      <c r="F17" s="18" t="s">
        <v>657</v>
      </c>
      <c r="G17" s="18" t="s">
        <v>690</v>
      </c>
      <c r="H17" s="47" t="s">
        <v>330</v>
      </c>
      <c r="I17" s="17" t="s">
        <v>616</v>
      </c>
      <c r="J17" s="50" t="s">
        <v>3</v>
      </c>
      <c r="K17" s="17" t="s">
        <v>381</v>
      </c>
      <c r="L17" s="50" t="s">
        <v>3</v>
      </c>
      <c r="M17" s="40" t="s">
        <v>15</v>
      </c>
    </row>
    <row r="18" ht="34.5" customHeight="1">
      <c r="A18" s="40">
        <v>7.0</v>
      </c>
      <c r="B18" s="44" t="str">
        <f t="shared" si="1"/>
        <v>EDA - 7</v>
      </c>
      <c r="C18" s="66" t="str">
        <f t="shared" si="2"/>
        <v>Edit Profile(Admin)</v>
      </c>
      <c r="D18" s="18" t="s">
        <v>660</v>
      </c>
      <c r="E18" s="18" t="s">
        <v>315</v>
      </c>
      <c r="F18" s="18" t="s">
        <v>661</v>
      </c>
      <c r="G18" s="18" t="s">
        <v>662</v>
      </c>
      <c r="H18" s="18" t="s">
        <v>456</v>
      </c>
      <c r="I18" s="17" t="s">
        <v>616</v>
      </c>
      <c r="J18" s="50" t="s">
        <v>3</v>
      </c>
      <c r="K18" s="17" t="s">
        <v>381</v>
      </c>
      <c r="L18" s="50" t="s">
        <v>3</v>
      </c>
      <c r="M18" s="40" t="s">
        <v>15</v>
      </c>
    </row>
    <row r="19" ht="41.25" customHeight="1">
      <c r="A19" s="40">
        <v>8.0</v>
      </c>
      <c r="B19" s="44" t="str">
        <f t="shared" si="1"/>
        <v>EDA - 8</v>
      </c>
      <c r="C19" s="66" t="str">
        <f t="shared" si="2"/>
        <v>Edit Profile(Admin)</v>
      </c>
      <c r="D19" s="18" t="s">
        <v>664</v>
      </c>
      <c r="E19" s="18" t="s">
        <v>315</v>
      </c>
      <c r="F19" s="18" t="s">
        <v>691</v>
      </c>
      <c r="G19" s="18" t="s">
        <v>666</v>
      </c>
      <c r="H19" s="47" t="s">
        <v>456</v>
      </c>
      <c r="I19" s="17" t="s">
        <v>616</v>
      </c>
      <c r="J19" s="50" t="s">
        <v>3</v>
      </c>
      <c r="K19" s="17" t="s">
        <v>381</v>
      </c>
      <c r="L19" s="50" t="s">
        <v>3</v>
      </c>
      <c r="M19" s="40" t="s">
        <v>15</v>
      </c>
    </row>
    <row r="20" ht="33.0" customHeight="1">
      <c r="A20" s="40">
        <v>9.0</v>
      </c>
      <c r="B20" s="44" t="str">
        <f t="shared" si="1"/>
        <v>EDA - 9</v>
      </c>
      <c r="C20" s="66" t="str">
        <f t="shared" si="2"/>
        <v>Edit Profile(Admin)</v>
      </c>
      <c r="D20" s="18" t="s">
        <v>667</v>
      </c>
      <c r="E20" s="18" t="s">
        <v>315</v>
      </c>
      <c r="F20" s="18" t="s">
        <v>692</v>
      </c>
      <c r="G20" s="18" t="s">
        <v>108</v>
      </c>
      <c r="H20" s="47" t="s">
        <v>693</v>
      </c>
      <c r="I20" s="17" t="s">
        <v>616</v>
      </c>
      <c r="J20" s="50" t="s">
        <v>3</v>
      </c>
      <c r="K20" s="17" t="s">
        <v>381</v>
      </c>
      <c r="L20" s="50" t="s">
        <v>3</v>
      </c>
      <c r="M20" s="40" t="s">
        <v>15</v>
      </c>
    </row>
    <row r="21" ht="57.0" customHeight="1">
      <c r="A21" s="40">
        <v>10.0</v>
      </c>
      <c r="B21" s="44" t="str">
        <f t="shared" si="1"/>
        <v>EDA - 10</v>
      </c>
      <c r="C21" s="66" t="str">
        <f t="shared" si="2"/>
        <v>Edit Profile(Admin)</v>
      </c>
      <c r="D21" s="18" t="s">
        <v>694</v>
      </c>
      <c r="E21" s="18" t="s">
        <v>315</v>
      </c>
      <c r="F21" s="85" t="s">
        <v>695</v>
      </c>
      <c r="G21" s="85" t="s">
        <v>696</v>
      </c>
      <c r="H21" s="18" t="s">
        <v>681</v>
      </c>
      <c r="I21" s="17" t="s">
        <v>616</v>
      </c>
      <c r="J21" s="50" t="s">
        <v>3</v>
      </c>
      <c r="K21" s="17" t="s">
        <v>381</v>
      </c>
      <c r="L21" s="50" t="s">
        <v>3</v>
      </c>
      <c r="M21" s="40" t="s">
        <v>15</v>
      </c>
    </row>
    <row r="22" ht="48.75" customHeight="1">
      <c r="A22" s="40">
        <v>11.0</v>
      </c>
      <c r="B22" s="44" t="str">
        <f t="shared" si="1"/>
        <v>EDA - 11</v>
      </c>
      <c r="C22" s="66" t="str">
        <f t="shared" si="2"/>
        <v>Edit Profile(Admin)</v>
      </c>
      <c r="D22" s="18" t="s">
        <v>697</v>
      </c>
      <c r="E22" s="18" t="s">
        <v>315</v>
      </c>
      <c r="F22" s="18" t="s">
        <v>698</v>
      </c>
      <c r="G22" s="18" t="s">
        <v>699</v>
      </c>
      <c r="H22" s="18" t="s">
        <v>700</v>
      </c>
      <c r="I22" s="17" t="s">
        <v>616</v>
      </c>
      <c r="J22" s="50" t="s">
        <v>3</v>
      </c>
      <c r="K22" s="17" t="s">
        <v>381</v>
      </c>
      <c r="L22" s="50" t="s">
        <v>3</v>
      </c>
      <c r="M22" s="40" t="s">
        <v>15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E10:E11"/>
    <mergeCell ref="F10:F11"/>
    <mergeCell ref="G10:G11"/>
    <mergeCell ref="H10:H11"/>
    <mergeCell ref="I10:I11"/>
    <mergeCell ref="J10:J11"/>
    <mergeCell ref="K10:K11"/>
  </mergeCells>
  <dataValidations>
    <dataValidation type="list" allowBlank="1" showErrorMessage="1" sqref="C3:C4">
      <formula1>'Test report '!$B$8:$B$10</formula1>
    </dataValidation>
    <dataValidation type="list" allowBlank="1" showErrorMessage="1" sqref="J12:J22 L12:L22">
      <formula1>'Test report '!$B$13:$B$16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2020-04-21T13:28:48Z</dcterms:created>
  <dc:creator>Giang Nguyen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2c235aa4-139f-4027-9582-c1a7a5d4f7f3</vt:lpwstr>
  </property>
</Properties>
</file>